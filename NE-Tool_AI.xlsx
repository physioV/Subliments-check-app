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drawings/drawing4.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DieseArbeitsmappe"/>
  <mc:AlternateContent xmlns:mc="http://schemas.openxmlformats.org/markup-compatibility/2006">
    <mc:Choice Requires="x15">
      <x15ac:absPath xmlns:x15ac="http://schemas.microsoft.com/office/spreadsheetml/2010/11/ac" url="C:\Users\physi\Documents\Software Praxis\"/>
    </mc:Choice>
  </mc:AlternateContent>
  <xr:revisionPtr revIDLastSave="0" documentId="13_ncr:1_{C298CE98-710B-490B-BDDA-CC5179966E7D}" xr6:coauthVersionLast="47" xr6:coauthVersionMax="47" xr10:uidLastSave="{00000000-0000-0000-0000-000000000000}"/>
  <bookViews>
    <workbookView xWindow="-120" yWindow="-120" windowWidth="29040" windowHeight="15720" tabRatio="861" firstSheet="3" activeTab="5" xr2:uid="{00000000-000D-0000-FFFF-FFFF00000000}"/>
  </bookViews>
  <sheets>
    <sheet name="Lebenskraft PUR" sheetId="18" r:id="rId1"/>
    <sheet name="Blutwerte" sheetId="19" r:id="rId2"/>
    <sheet name="Ne-Ettiket" sheetId="17" r:id="rId3"/>
    <sheet name="NE_Rechnung" sheetId="1" r:id="rId4"/>
    <sheet name="Produkte" sheetId="5" r:id="rId5"/>
    <sheet name="Kunden" sheetId="3" r:id="rId6"/>
    <sheet name="Bestellung" sheetId="13" r:id="rId7"/>
    <sheet name="Info" sheetId="11" r:id="rId8"/>
    <sheet name="Umsatz" sheetId="15" r:id="rId9"/>
  </sheets>
  <definedNames>
    <definedName name="_xlnm._FilterDatabase" localSheetId="3" hidden="1">NE_Rechnung!$D$11:$D$13</definedName>
    <definedName name="_xlnm._FilterDatabase" localSheetId="8" hidden="1">Umsatz!$A$1:$W$1</definedName>
    <definedName name="Anzahlung">NE_Rechnung!$I$44</definedName>
    <definedName name="_xlnm.Print_Area" localSheetId="6">Bestellung!$A:$C</definedName>
    <definedName name="_xlnm.Print_Area" localSheetId="5">Kunden!$A:$H</definedName>
    <definedName name="_xlnm.Print_Area" localSheetId="0">'Lebenskraft PUR'!$A:$J</definedName>
    <definedName name="_xlnm.Print_Area" localSheetId="3">NE_Rechnung!$A$1:$K$56</definedName>
    <definedName name="_xlnm.Print_Area" localSheetId="4">Produkte!$A:$J</definedName>
    <definedName name="_xlnm.Print_Titles" localSheetId="6">Bestellung!#REF!</definedName>
    <definedName name="_xlnm.Print_Titles" localSheetId="5">Kunden!$2:$2</definedName>
    <definedName name="_xlnm.Print_Titles" localSheetId="0">'Lebenskraft PUR'!$2:$2</definedName>
    <definedName name="_xlnm.Print_Titles" localSheetId="3">NE_Rechnung!$19:$19</definedName>
    <definedName name="_xlnm.Print_Titles" localSheetId="4">Produkte!$2:$2</definedName>
    <definedName name="fibukonto">#REF!</definedName>
    <definedName name="Firmenname">NE_Rechnung!$C$1</definedName>
    <definedName name="KundeNachschlagen" localSheetId="6">#REF!</definedName>
    <definedName name="KundeNachschlagen" localSheetId="0">Kundenliste36[Name]</definedName>
    <definedName name="KundeNachschlagen" localSheetId="4">Kundenliste3[Name]</definedName>
    <definedName name="KundeNachschlagen">Kundenliste[Name]</definedName>
    <definedName name="LebenskraftPUR">Kundenliste[Name]</definedName>
    <definedName name="Mehrwertsteuer">NE_Rechnung!#REF!</definedName>
    <definedName name="Mehrwertsteuersatz">NE_Rechnung!#REF!</definedName>
    <definedName name="Produktbeschreibung">NE_Rechnung!$D$20</definedName>
    <definedName name="Produkte" localSheetId="0">Kundenliste[Name]</definedName>
    <definedName name="Produkte">Kundenliste[Name]</definedName>
    <definedName name="Produktliste" localSheetId="6">#REF!</definedName>
    <definedName name="Produktliste" localSheetId="0">Kundenliste36[]</definedName>
    <definedName name="Produktliste">Kundenliste3[]</definedName>
    <definedName name="Rabatt">NE_Rechnung!$I$43</definedName>
    <definedName name="Rechnungsname">NE_Rechnung!$D$11</definedName>
    <definedName name="Rechnungszwischensumme">NE_Rechnung!$I$42</definedName>
    <definedName name="Spaltentitel1">#REF!</definedName>
    <definedName name="Titel2" localSheetId="6">#REF!</definedName>
    <definedName name="Titel2" localSheetId="0">Kundenliste36[[#Headers],[Name]]</definedName>
    <definedName name="Titel2" localSheetId="4">Kundenliste3[[#Headers],[Name]]</definedName>
    <definedName name="Titel2">Kundenliste[[#Headers],[Name]]</definedName>
    <definedName name="Versand">NE_Rechnung!$I$43</definedName>
    <definedName name="ZeilenTitelBereich1..C6">NE_Rechnung!$C$11</definedName>
    <definedName name="ZeilenTitelBereich2..E5">NE_Rechnung!$F$11</definedName>
    <definedName name="ZeilenTitelBereich3..H5">NE_Rechnung!$I$11</definedName>
    <definedName name="ZeilenTitelBereich4..H20">NE_Rechnung!$H$42</definedName>
  </definedNames>
  <calcPr calcId="181029" iterateDelta="1E-4"/>
</workbook>
</file>

<file path=xl/calcChain.xml><?xml version="1.0" encoding="utf-8"?>
<calcChain xmlns="http://schemas.openxmlformats.org/spreadsheetml/2006/main">
  <c r="G21" i="1" l="1"/>
  <c r="I21" i="1" s="1"/>
  <c r="E21" i="1"/>
  <c r="E41" i="1"/>
  <c r="E24" i="1"/>
  <c r="G24" i="1"/>
  <c r="I24" i="1" s="1"/>
  <c r="G25" i="1"/>
  <c r="I25" i="1" s="1"/>
  <c r="G26" i="1"/>
  <c r="I26" i="1" s="1"/>
  <c r="G27" i="1"/>
  <c r="I27" i="1" s="1"/>
  <c r="G28" i="1"/>
  <c r="I28" i="1" s="1"/>
  <c r="G29" i="1"/>
  <c r="I29" i="1" s="1"/>
  <c r="G30" i="1"/>
  <c r="I30" i="1" s="1"/>
  <c r="G31" i="1"/>
  <c r="I31" i="1" s="1"/>
  <c r="G32" i="1"/>
  <c r="I32" i="1" s="1"/>
  <c r="G33" i="1"/>
  <c r="I33" i="1" s="1"/>
  <c r="G34" i="1"/>
  <c r="I34" i="1" s="1"/>
  <c r="G35" i="1"/>
  <c r="I35" i="1" s="1"/>
  <c r="G36" i="1"/>
  <c r="I36" i="1" s="1"/>
  <c r="G37" i="1"/>
  <c r="I37" i="1" s="1"/>
  <c r="G38" i="1"/>
  <c r="I38" i="1" s="1"/>
  <c r="G39" i="1"/>
  <c r="I39" i="1" s="1"/>
  <c r="G40" i="1"/>
  <c r="I40" i="1" s="1"/>
  <c r="W78" i="15"/>
  <c r="W79" i="15"/>
  <c r="W80" i="15"/>
  <c r="I77" i="15"/>
  <c r="P77" i="15" s="1"/>
  <c r="I78" i="15"/>
  <c r="P78" i="15" s="1"/>
  <c r="I79" i="15"/>
  <c r="P79" i="15" s="1"/>
  <c r="I80" i="15"/>
  <c r="P80" i="15" s="1"/>
  <c r="W59" i="15"/>
  <c r="W60" i="15"/>
  <c r="W61" i="15"/>
  <c r="W62" i="15"/>
  <c r="W63" i="15"/>
  <c r="W64" i="15"/>
  <c r="W65" i="15"/>
  <c r="W66" i="15"/>
  <c r="W67" i="15"/>
  <c r="W68" i="15"/>
  <c r="W69" i="15"/>
  <c r="W70" i="15"/>
  <c r="W71" i="15"/>
  <c r="W72" i="15"/>
  <c r="W73" i="15"/>
  <c r="W74" i="15"/>
  <c r="W75" i="15"/>
  <c r="W76" i="15"/>
  <c r="W77" i="15"/>
  <c r="W58" i="15"/>
  <c r="W55" i="15"/>
  <c r="W56" i="15"/>
  <c r="I15" i="1"/>
  <c r="E20" i="1"/>
  <c r="G20" i="1"/>
  <c r="E22" i="1"/>
  <c r="G22" i="1"/>
  <c r="I22" i="1" s="1"/>
  <c r="E23" i="1"/>
  <c r="G23" i="1"/>
  <c r="I23" i="1" s="1"/>
  <c r="G41" i="1"/>
  <c r="I41" i="1" s="1"/>
  <c r="D13" i="1"/>
  <c r="R80" i="15" l="1"/>
  <c r="T80" i="15" s="1"/>
  <c r="R79" i="15"/>
  <c r="T79" i="15" s="1"/>
  <c r="R78" i="15"/>
  <c r="T78" i="15" s="1"/>
  <c r="R77" i="15"/>
  <c r="T77" i="15" s="1"/>
  <c r="I26" i="15"/>
  <c r="P26" i="15" s="1"/>
  <c r="Q26" i="15"/>
  <c r="W26" i="15"/>
  <c r="B32" i="17"/>
  <c r="I59" i="15"/>
  <c r="I60" i="15"/>
  <c r="I61" i="15"/>
  <c r="I62" i="15"/>
  <c r="I63" i="15"/>
  <c r="I64" i="15"/>
  <c r="I65" i="15"/>
  <c r="I66" i="15"/>
  <c r="I67" i="15"/>
  <c r="I68" i="15"/>
  <c r="I69" i="15"/>
  <c r="I70" i="15"/>
  <c r="I71" i="15"/>
  <c r="I72" i="15"/>
  <c r="I73" i="15"/>
  <c r="I74" i="15"/>
  <c r="I75" i="15"/>
  <c r="I76" i="15"/>
  <c r="I58" i="15"/>
  <c r="W16" i="15"/>
  <c r="I20" i="1"/>
  <c r="I7" i="15"/>
  <c r="R7" i="15" s="1"/>
  <c r="Q7" i="15"/>
  <c r="W7" i="15"/>
  <c r="P76" i="15" l="1"/>
  <c r="R76" i="15"/>
  <c r="P70" i="15"/>
  <c r="R70" i="15"/>
  <c r="P64" i="15"/>
  <c r="R64" i="15"/>
  <c r="P75" i="15"/>
  <c r="R75" i="15"/>
  <c r="P69" i="15"/>
  <c r="R69" i="15"/>
  <c r="P63" i="15"/>
  <c r="R63" i="15"/>
  <c r="P74" i="15"/>
  <c r="R74" i="15"/>
  <c r="P68" i="15"/>
  <c r="R68" i="15"/>
  <c r="P62" i="15"/>
  <c r="R62" i="15"/>
  <c r="P73" i="15"/>
  <c r="R73" i="15"/>
  <c r="P67" i="15"/>
  <c r="R67" i="15"/>
  <c r="P61" i="15"/>
  <c r="R61" i="15"/>
  <c r="P72" i="15"/>
  <c r="R72" i="15"/>
  <c r="P66" i="15"/>
  <c r="R66" i="15"/>
  <c r="P60" i="15"/>
  <c r="R60" i="15"/>
  <c r="P58" i="15"/>
  <c r="R58" i="15"/>
  <c r="P71" i="15"/>
  <c r="R71" i="15"/>
  <c r="P65" i="15"/>
  <c r="R65" i="15"/>
  <c r="P59" i="15"/>
  <c r="R59" i="15"/>
  <c r="R26" i="15"/>
  <c r="T26" i="15" s="1"/>
  <c r="P7" i="15"/>
  <c r="T7" i="15" s="1"/>
  <c r="T65" i="15" l="1"/>
  <c r="T60" i="15"/>
  <c r="T61" i="15"/>
  <c r="T62" i="15"/>
  <c r="T63" i="15"/>
  <c r="T64" i="15"/>
  <c r="T71" i="15"/>
  <c r="T66" i="15"/>
  <c r="T67" i="15"/>
  <c r="T68" i="15"/>
  <c r="T69" i="15"/>
  <c r="T70" i="15"/>
  <c r="T59" i="15"/>
  <c r="T58" i="15"/>
  <c r="T72" i="15"/>
  <c r="T73" i="15"/>
  <c r="T74" i="15"/>
  <c r="T75" i="15"/>
  <c r="T76" i="15"/>
  <c r="Q6" i="15"/>
  <c r="W6" i="15"/>
  <c r="I6" i="15"/>
  <c r="P6" i="15" s="1"/>
  <c r="I12" i="15"/>
  <c r="R12" i="15" s="1"/>
  <c r="I11" i="15"/>
  <c r="R11" i="15" s="1"/>
  <c r="I16" i="15"/>
  <c r="R16" i="15" s="1"/>
  <c r="I15" i="15"/>
  <c r="R15" i="15" s="1"/>
  <c r="I30" i="15"/>
  <c r="R30" i="15" s="1"/>
  <c r="I31" i="15"/>
  <c r="R31" i="15" s="1"/>
  <c r="I32" i="15"/>
  <c r="R32" i="15" s="1"/>
  <c r="I34" i="15"/>
  <c r="P34" i="15" s="1"/>
  <c r="I43" i="15"/>
  <c r="P43" i="15" s="1"/>
  <c r="I41" i="15"/>
  <c r="P41" i="15" s="1"/>
  <c r="Q41" i="15"/>
  <c r="W41" i="15"/>
  <c r="I42" i="15"/>
  <c r="P42" i="15" s="1"/>
  <c r="Q42" i="15"/>
  <c r="W42" i="15"/>
  <c r="I49" i="15"/>
  <c r="R49" i="15" s="1"/>
  <c r="I52" i="15"/>
  <c r="R52" i="15" s="1"/>
  <c r="I45" i="15"/>
  <c r="R45" i="15" s="1"/>
  <c r="I56" i="15"/>
  <c r="P56" i="15" s="1"/>
  <c r="W54" i="15"/>
  <c r="Q54" i="15"/>
  <c r="I54" i="15"/>
  <c r="R54" i="15" s="1"/>
  <c r="Q56" i="15"/>
  <c r="Q55" i="15"/>
  <c r="I55" i="15"/>
  <c r="R55" i="15" s="1"/>
  <c r="W53" i="15"/>
  <c r="Q53" i="15"/>
  <c r="I53" i="15"/>
  <c r="R53" i="15" s="1"/>
  <c r="W52" i="15"/>
  <c r="Q52" i="15"/>
  <c r="W51" i="15"/>
  <c r="Q51" i="15"/>
  <c r="I51" i="15"/>
  <c r="R51" i="15" s="1"/>
  <c r="W50" i="15"/>
  <c r="Q50" i="15"/>
  <c r="I50" i="15"/>
  <c r="R50" i="15" s="1"/>
  <c r="W49" i="15"/>
  <c r="Q49" i="15"/>
  <c r="W48" i="15"/>
  <c r="Q48" i="15"/>
  <c r="I48" i="15"/>
  <c r="R48" i="15" s="1"/>
  <c r="W47" i="15"/>
  <c r="Q47" i="15"/>
  <c r="I47" i="15"/>
  <c r="R47" i="15" s="1"/>
  <c r="W46" i="15"/>
  <c r="Q46" i="15"/>
  <c r="I46" i="15"/>
  <c r="R46" i="15" s="1"/>
  <c r="W45" i="15"/>
  <c r="Q45" i="15"/>
  <c r="W44" i="15"/>
  <c r="Q44" i="15"/>
  <c r="I44" i="15"/>
  <c r="P44" i="15" s="1"/>
  <c r="W43" i="15"/>
  <c r="Q43" i="15"/>
  <c r="W40" i="15"/>
  <c r="Q40" i="15"/>
  <c r="I40" i="15"/>
  <c r="P40" i="15" s="1"/>
  <c r="W39" i="15"/>
  <c r="Q39" i="15"/>
  <c r="I39" i="15"/>
  <c r="P39" i="15" s="1"/>
  <c r="W38" i="15"/>
  <c r="Q38" i="15"/>
  <c r="I38" i="15"/>
  <c r="P38" i="15" s="1"/>
  <c r="W37" i="15"/>
  <c r="Q37" i="15"/>
  <c r="I37" i="15"/>
  <c r="P37" i="15" s="1"/>
  <c r="W36" i="15"/>
  <c r="Q36" i="15"/>
  <c r="I36" i="15"/>
  <c r="P36" i="15" s="1"/>
  <c r="W35" i="15"/>
  <c r="Q35" i="15"/>
  <c r="I35" i="15"/>
  <c r="P35" i="15" s="1"/>
  <c r="W34" i="15"/>
  <c r="Q34" i="15"/>
  <c r="W33" i="15"/>
  <c r="Q33" i="15"/>
  <c r="I33" i="15"/>
  <c r="P33" i="15" s="1"/>
  <c r="W32" i="15"/>
  <c r="Q32" i="15"/>
  <c r="W31" i="15"/>
  <c r="Q31" i="15"/>
  <c r="W30" i="15"/>
  <c r="Q30" i="15"/>
  <c r="W29" i="15"/>
  <c r="Q29" i="15"/>
  <c r="I29" i="15"/>
  <c r="R29" i="15" s="1"/>
  <c r="W28" i="15"/>
  <c r="R28" i="15"/>
  <c r="Q28" i="15"/>
  <c r="P28" i="15"/>
  <c r="W27" i="15"/>
  <c r="Q27" i="15"/>
  <c r="I27" i="15"/>
  <c r="R27" i="15" s="1"/>
  <c r="W25" i="15"/>
  <c r="Q25" i="15"/>
  <c r="I25" i="15"/>
  <c r="R25" i="15" s="1"/>
  <c r="W24" i="15"/>
  <c r="Q24" i="15"/>
  <c r="I24" i="15"/>
  <c r="R24" i="15" s="1"/>
  <c r="W23" i="15"/>
  <c r="Q23" i="15"/>
  <c r="I23" i="15"/>
  <c r="R23" i="15" s="1"/>
  <c r="W22" i="15"/>
  <c r="Q22" i="15"/>
  <c r="I22" i="15"/>
  <c r="R22" i="15" s="1"/>
  <c r="W21" i="15"/>
  <c r="Q21" i="15"/>
  <c r="I21" i="15"/>
  <c r="R21" i="15" s="1"/>
  <c r="W20" i="15"/>
  <c r="Q20" i="15"/>
  <c r="I20" i="15"/>
  <c r="R20" i="15" s="1"/>
  <c r="W19" i="15"/>
  <c r="Q19" i="15"/>
  <c r="I19" i="15"/>
  <c r="R19" i="15" s="1"/>
  <c r="W18" i="15"/>
  <c r="Q18" i="15"/>
  <c r="I18" i="15"/>
  <c r="P18" i="15" s="1"/>
  <c r="W17" i="15"/>
  <c r="Q17" i="15"/>
  <c r="I17" i="15"/>
  <c r="P17" i="15" s="1"/>
  <c r="Q16" i="15"/>
  <c r="W15" i="15"/>
  <c r="Q15" i="15"/>
  <c r="W14" i="15"/>
  <c r="Q14" i="15"/>
  <c r="I14" i="15"/>
  <c r="R14" i="15" s="1"/>
  <c r="W13" i="15"/>
  <c r="Q13" i="15"/>
  <c r="I13" i="15"/>
  <c r="R13" i="15" s="1"/>
  <c r="W12" i="15"/>
  <c r="Q12" i="15"/>
  <c r="W11" i="15"/>
  <c r="Q11" i="15"/>
  <c r="W10" i="15"/>
  <c r="Q10" i="15"/>
  <c r="I10" i="15"/>
  <c r="R10" i="15" s="1"/>
  <c r="W9" i="15"/>
  <c r="Q9" i="15"/>
  <c r="I9" i="15"/>
  <c r="P9" i="15" s="1"/>
  <c r="W8" i="15"/>
  <c r="Q8" i="15"/>
  <c r="I8" i="15"/>
  <c r="P8" i="15" s="1"/>
  <c r="W5" i="15"/>
  <c r="Q5" i="15"/>
  <c r="I5" i="15"/>
  <c r="P5" i="15" s="1"/>
  <c r="W4" i="15"/>
  <c r="Q4" i="15"/>
  <c r="I4" i="15"/>
  <c r="P4" i="15" s="1"/>
  <c r="W3" i="15"/>
  <c r="Q3" i="15"/>
  <c r="I3" i="15"/>
  <c r="P3" i="15" s="1"/>
  <c r="W2" i="15"/>
  <c r="Q2" i="15"/>
  <c r="I2" i="15"/>
  <c r="P2" i="15" s="1"/>
  <c r="W83" i="15" l="1"/>
  <c r="R56" i="15"/>
  <c r="T56" i="15" s="1"/>
  <c r="R6" i="15"/>
  <c r="T6" i="15" s="1"/>
  <c r="R42" i="15"/>
  <c r="T42" i="15" s="1"/>
  <c r="R41" i="15"/>
  <c r="T41" i="15" s="1"/>
  <c r="P11" i="15"/>
  <c r="T11" i="15" s="1"/>
  <c r="P16" i="15"/>
  <c r="T16" i="15" s="1"/>
  <c r="P45" i="15"/>
  <c r="R34" i="15"/>
  <c r="T34" i="15" s="1"/>
  <c r="P47" i="15"/>
  <c r="T47" i="15" s="1"/>
  <c r="P51" i="15"/>
  <c r="T51" i="15" s="1"/>
  <c r="R44" i="15"/>
  <c r="T44" i="15" s="1"/>
  <c r="P48" i="15"/>
  <c r="T48" i="15" s="1"/>
  <c r="P53" i="15"/>
  <c r="T53" i="15" s="1"/>
  <c r="P46" i="15"/>
  <c r="T46" i="15" s="1"/>
  <c r="P50" i="15"/>
  <c r="T50" i="15" s="1"/>
  <c r="R17" i="15"/>
  <c r="T17" i="15" s="1"/>
  <c r="R35" i="15"/>
  <c r="T35" i="15" s="1"/>
  <c r="R39" i="15"/>
  <c r="T39" i="15" s="1"/>
  <c r="R38" i="15"/>
  <c r="T38" i="15" s="1"/>
  <c r="R18" i="15"/>
  <c r="T18" i="15" s="1"/>
  <c r="T28" i="15"/>
  <c r="R37" i="15"/>
  <c r="P49" i="15"/>
  <c r="T49" i="15" s="1"/>
  <c r="P52" i="15"/>
  <c r="P55" i="15"/>
  <c r="T55" i="15" s="1"/>
  <c r="Q83" i="15"/>
  <c r="R40" i="15"/>
  <c r="T40" i="15" s="1"/>
  <c r="R43" i="15"/>
  <c r="T43" i="15" s="1"/>
  <c r="R2" i="15"/>
  <c r="T2" i="15" s="1"/>
  <c r="R4" i="15"/>
  <c r="T4" i="15" s="1"/>
  <c r="R9" i="15"/>
  <c r="T9" i="15" s="1"/>
  <c r="P31" i="15"/>
  <c r="T31" i="15" s="1"/>
  <c r="R33" i="15"/>
  <c r="T33" i="15" s="1"/>
  <c r="R36" i="15"/>
  <c r="R3" i="15"/>
  <c r="T3" i="15" s="1"/>
  <c r="R5" i="15"/>
  <c r="T5" i="15" s="1"/>
  <c r="R8" i="15"/>
  <c r="T8" i="15" s="1"/>
  <c r="P30" i="15"/>
  <c r="T30" i="15" s="1"/>
  <c r="P29" i="15"/>
  <c r="T29" i="15" s="1"/>
  <c r="P32" i="15"/>
  <c r="T32" i="15" s="1"/>
  <c r="P12" i="15"/>
  <c r="T12" i="15" s="1"/>
  <c r="P13" i="15"/>
  <c r="T13" i="15" s="1"/>
  <c r="P14" i="15"/>
  <c r="T14" i="15" s="1"/>
  <c r="P15" i="15"/>
  <c r="T15" i="15" s="1"/>
  <c r="P27" i="15"/>
  <c r="T27" i="15" s="1"/>
  <c r="P10" i="15"/>
  <c r="T10" i="15" s="1"/>
  <c r="P19" i="15"/>
  <c r="T19" i="15" s="1"/>
  <c r="P20" i="15"/>
  <c r="T20" i="15" s="1"/>
  <c r="P21" i="15"/>
  <c r="T21" i="15" s="1"/>
  <c r="P22" i="15"/>
  <c r="T22" i="15" s="1"/>
  <c r="P23" i="15"/>
  <c r="T23" i="15" s="1"/>
  <c r="P24" i="15"/>
  <c r="P25" i="15"/>
  <c r="T25" i="15" s="1"/>
  <c r="P54" i="15"/>
  <c r="T54" i="15" s="1"/>
  <c r="P83" i="15" l="1"/>
  <c r="R83" i="15"/>
  <c r="T83" i="15"/>
  <c r="I42" i="1" l="1"/>
  <c r="I45" i="1" s="1"/>
  <c r="I14" i="1" l="1"/>
  <c r="D12" i="1"/>
</calcChain>
</file>

<file path=xl/sharedStrings.xml><?xml version="1.0" encoding="utf-8"?>
<sst xmlns="http://schemas.openxmlformats.org/spreadsheetml/2006/main" count="804" uniqueCount="427">
  <si>
    <t>Beschreibung</t>
  </si>
  <si>
    <t>Menge</t>
  </si>
  <si>
    <t>Einzelpreis</t>
  </si>
  <si>
    <t>Rechnungsnummer:</t>
  </si>
  <si>
    <t>Rechnungsdatum:</t>
  </si>
  <si>
    <t>Rabatt</t>
  </si>
  <si>
    <t>Rechnungszwischensumme</t>
  </si>
  <si>
    <t>Erhaltene Anzahlung</t>
  </si>
  <si>
    <t>Gesamt</t>
  </si>
  <si>
    <t>Kunden</t>
  </si>
  <si>
    <t>Adresse</t>
  </si>
  <si>
    <t>Telefon</t>
  </si>
  <si>
    <t>E-Mail</t>
  </si>
  <si>
    <t>Handelsrechnung</t>
  </si>
  <si>
    <t>Name</t>
  </si>
  <si>
    <t>-</t>
  </si>
  <si>
    <t>Rechnungsnummer</t>
  </si>
  <si>
    <t>Viktor Mathies</t>
  </si>
  <si>
    <t>33775 Versmold</t>
  </si>
  <si>
    <t>05423 / 328 958 3</t>
  </si>
  <si>
    <t>Nahrungsergänzungsmittel</t>
  </si>
  <si>
    <t>PLZ _ Ort</t>
  </si>
  <si>
    <t>Rechnung</t>
  </si>
  <si>
    <t>Rechnungsbetrag</t>
  </si>
  <si>
    <t>Als Kleinunternehmer im Sinne von § 19 Abs. 1 UStG wird Umsatzsteuer nicht ausgewiesen.</t>
  </si>
  <si>
    <t>info@physio-live.de</t>
  </si>
  <si>
    <t>Lieferdatum = Rechnungsdatum</t>
  </si>
  <si>
    <t>Vitamin D3</t>
  </si>
  <si>
    <t>Vitamin K2</t>
  </si>
  <si>
    <t>Dankeschön für Ihre Bestellung!</t>
  </si>
  <si>
    <t>… weil`s Kräfte weckt!</t>
  </si>
  <si>
    <t>MwSt</t>
  </si>
  <si>
    <t>Einkauf</t>
  </si>
  <si>
    <t>Verkauf</t>
  </si>
  <si>
    <t>Gewinn</t>
  </si>
  <si>
    <t>Inhalt</t>
  </si>
  <si>
    <t>60 Kapseln</t>
  </si>
  <si>
    <t xml:space="preserve">  </t>
  </si>
  <si>
    <t>Produktliste</t>
  </si>
  <si>
    <r>
      <t xml:space="preserve">Magnesium ÖL </t>
    </r>
    <r>
      <rPr>
        <i/>
        <sz val="11"/>
        <color theme="3"/>
        <rFont val="Calibri"/>
        <family val="2"/>
        <scheme val="minor"/>
      </rPr>
      <t>Spray</t>
    </r>
  </si>
  <si>
    <t>100 ml / 800 Hübe</t>
  </si>
  <si>
    <t>50 ml / 1200 Tropfen</t>
  </si>
  <si>
    <t>50 ml / 1350 Tropfen</t>
  </si>
  <si>
    <t>1000 mcg / 100 Pastillen</t>
  </si>
  <si>
    <t>Kinder Multi Vitamin + Mineralien</t>
  </si>
  <si>
    <t>150 Pastillen</t>
  </si>
  <si>
    <r>
      <t xml:space="preserve">Vitamin B12 </t>
    </r>
    <r>
      <rPr>
        <i/>
        <sz val="11"/>
        <color theme="3"/>
        <rFont val="Calibri"/>
        <family val="2"/>
        <scheme val="minor"/>
      </rPr>
      <t>Tropfen</t>
    </r>
  </si>
  <si>
    <t>50 ml</t>
  </si>
  <si>
    <t xml:space="preserve">DER GESAMTBETRAG IST IN 10 TAGEN FÄLLIG, BITTE VERGESSEN SIE NICHT DIE RECHNUNGSNUMMER. </t>
  </si>
  <si>
    <t>500ml</t>
  </si>
  <si>
    <t>1000 ml</t>
  </si>
  <si>
    <t>Vita Biosa</t>
  </si>
  <si>
    <r>
      <t xml:space="preserve">Vita Biosa </t>
    </r>
    <r>
      <rPr>
        <i/>
        <sz val="11"/>
        <color theme="3"/>
        <rFont val="Calibri"/>
        <family val="2"/>
        <scheme val="minor"/>
      </rPr>
      <t>groß</t>
    </r>
  </si>
  <si>
    <t>Hilfestellung:</t>
  </si>
  <si>
    <t>http://www.deutsch-russisch.eu/verwaltung/Excel-Verwaltung.php</t>
  </si>
  <si>
    <r>
      <t xml:space="preserve">Vitamin B12 </t>
    </r>
    <r>
      <rPr>
        <i/>
        <sz val="11"/>
        <color theme="3"/>
        <rFont val="Calibri"/>
        <family val="2"/>
        <scheme val="minor"/>
      </rPr>
      <t>kaubar</t>
    </r>
  </si>
  <si>
    <t>MSM</t>
  </si>
  <si>
    <t>360Kapseln</t>
  </si>
  <si>
    <t>L-Arginin</t>
  </si>
  <si>
    <t>180 Kapseln</t>
  </si>
  <si>
    <t>180 Pastillen</t>
  </si>
  <si>
    <t>Vitamin B12</t>
  </si>
  <si>
    <t>120 Kapseln</t>
  </si>
  <si>
    <t>Nattokinase</t>
  </si>
  <si>
    <t>90 Kapseln</t>
  </si>
  <si>
    <t>Darm Intensiv</t>
  </si>
  <si>
    <t>Alphaliponsäure</t>
  </si>
  <si>
    <t>Eisen 50mg</t>
  </si>
  <si>
    <t>150 Kapseln</t>
  </si>
  <si>
    <t>Beauty Women</t>
  </si>
  <si>
    <t>500 ml</t>
  </si>
  <si>
    <t>Basispaket</t>
  </si>
  <si>
    <t>Alantwurzel Tee</t>
  </si>
  <si>
    <t>200g</t>
  </si>
  <si>
    <t>Flüssiges Eisen</t>
  </si>
  <si>
    <t>100ml</t>
  </si>
  <si>
    <t>Vitamin - Elexier</t>
  </si>
  <si>
    <t>Vitalstoff-Komplex</t>
  </si>
  <si>
    <t>Kolloidales Silber</t>
  </si>
  <si>
    <t>100 ml</t>
  </si>
  <si>
    <r>
      <t xml:space="preserve">Kolloidales Silber </t>
    </r>
    <r>
      <rPr>
        <i/>
        <sz val="11"/>
        <color theme="3"/>
        <rFont val="Calibri"/>
        <family val="2"/>
        <scheme val="minor"/>
      </rPr>
      <t>Spray</t>
    </r>
  </si>
  <si>
    <r>
      <t xml:space="preserve">Vitamin B </t>
    </r>
    <r>
      <rPr>
        <i/>
        <sz val="11"/>
        <color theme="3"/>
        <rFont val="Calibri"/>
        <family val="2"/>
        <scheme val="minor"/>
      </rPr>
      <t>Komplex</t>
    </r>
  </si>
  <si>
    <t>L-Carnitin (Lonza)</t>
  </si>
  <si>
    <t>250 g</t>
  </si>
  <si>
    <t>Quercetin Kapseln</t>
  </si>
  <si>
    <t>DKB - Deutsche Kreditbank AG</t>
  </si>
  <si>
    <t>IBAN: DE20 1203 0000 1053 5117 29               BIC: BYLADEM1001</t>
  </si>
  <si>
    <t>NADH 20mg &amp; Q10 100mg</t>
  </si>
  <si>
    <t>DMSO</t>
  </si>
  <si>
    <t>Wichtig! auf saubere Haut Sprühen und 30 min danach nicht mit Kleidung bedecken!</t>
  </si>
  <si>
    <t>Bitte nicht mit der Handinnenfläche Verreiben!</t>
  </si>
  <si>
    <r>
      <t xml:space="preserve">Vitamin C </t>
    </r>
    <r>
      <rPr>
        <i/>
        <sz val="11"/>
        <color theme="3"/>
        <rFont val="Calibri"/>
        <family val="2"/>
        <scheme val="minor"/>
      </rPr>
      <t>600</t>
    </r>
  </si>
  <si>
    <t>Info</t>
  </si>
  <si>
    <t>Infos:</t>
  </si>
  <si>
    <t>Magnesium Öl:</t>
  </si>
  <si>
    <t>1.</t>
  </si>
  <si>
    <t>2.</t>
  </si>
  <si>
    <t>3.</t>
  </si>
  <si>
    <t xml:space="preserve">Chrom-Picolinat </t>
  </si>
  <si>
    <t xml:space="preserve">200 Kapseln </t>
  </si>
  <si>
    <r>
      <t xml:space="preserve">Vitamin C </t>
    </r>
    <r>
      <rPr>
        <i/>
        <sz val="11"/>
        <color theme="3"/>
        <rFont val="Calibri"/>
        <family val="2"/>
        <scheme val="minor"/>
      </rPr>
      <t>1000</t>
    </r>
  </si>
  <si>
    <t>0,5 l</t>
  </si>
  <si>
    <t>Broccoraphan</t>
  </si>
  <si>
    <t>50g</t>
  </si>
  <si>
    <t>DSMO</t>
  </si>
  <si>
    <t>Saubere Hände, einen sauberen Wattebausch mit DMSO eintränken und über die sauber gewaschene und trockene Stelle die schmerzt leicht darüber streichen bis ein öliger Film entsteht. Dann warten bis es eingetrocknet ist. Die Haut ist während der ersten 15 Minuten empfindlicher als gewöhnlich.</t>
  </si>
  <si>
    <t>Oral: 300ml Wasser 1 Teelöffel (Knoblauchgeruch) bis zu 2 Teelöffel am Tag.</t>
  </si>
  <si>
    <t>Selen 200mcg</t>
  </si>
  <si>
    <t xml:space="preserve">Q 10 Coenzym </t>
  </si>
  <si>
    <r>
      <t xml:space="preserve">OPC </t>
    </r>
    <r>
      <rPr>
        <i/>
        <sz val="11"/>
        <color theme="3"/>
        <rFont val="Calibri"/>
        <family val="2"/>
        <scheme val="minor"/>
      </rPr>
      <t>Pulver S</t>
    </r>
  </si>
  <si>
    <t>Zink</t>
  </si>
  <si>
    <t xml:space="preserve"> </t>
  </si>
  <si>
    <t>MIRON Violetglass BV</t>
  </si>
  <si>
    <t>g</t>
  </si>
  <si>
    <t>Multi Mineral</t>
  </si>
  <si>
    <t>180 Tabletten</t>
  </si>
  <si>
    <t>L-Carnosin</t>
  </si>
  <si>
    <t>Citrizidal</t>
  </si>
  <si>
    <t>Bei Bakterien in der Niere, Blase etc. 3x15 Tropfen in ein Glas Wasser, 3-mal täglich</t>
  </si>
  <si>
    <t>Grapefruitkernextrakt sollte dennoch niemals unverdünnt angewendet werden</t>
  </si>
  <si>
    <t>Vitamin E</t>
  </si>
  <si>
    <t>Produktliste - Bestellung</t>
  </si>
  <si>
    <t>Anzahl</t>
  </si>
  <si>
    <t>Was</t>
  </si>
  <si>
    <t>Wie</t>
  </si>
  <si>
    <t>Hygieneartikel</t>
  </si>
  <si>
    <t>Kapseln zur Testosteronsteigerung</t>
  </si>
  <si>
    <t>Im Kühl 18</t>
  </si>
  <si>
    <t>L-Carnitin</t>
  </si>
  <si>
    <t>Nach nur ca. 10 Tagen mit 2,5g hat der Körper seinen Vorrat aufgefüllt. Dann kann man 1-2 Monate Pause machen.</t>
  </si>
  <si>
    <r>
      <t xml:space="preserve">Kolloidales Silber </t>
    </r>
    <r>
      <rPr>
        <i/>
        <sz val="11"/>
        <color theme="3"/>
        <rFont val="Calibri"/>
        <family val="2"/>
        <scheme val="minor"/>
      </rPr>
      <t>Spray 50ml</t>
    </r>
  </si>
  <si>
    <t>Urgesteinsmehl</t>
  </si>
  <si>
    <t>Acerola-Pulver Vitamin C</t>
  </si>
  <si>
    <t>175 g Pulver</t>
  </si>
  <si>
    <t xml:space="preserve">830g Pulver </t>
  </si>
  <si>
    <t>250 ml</t>
  </si>
  <si>
    <t>OPC</t>
  </si>
  <si>
    <r>
      <t xml:space="preserve">Urgesteinsmehl </t>
    </r>
    <r>
      <rPr>
        <i/>
        <sz val="11"/>
        <color theme="3"/>
        <rFont val="Calibri"/>
        <family val="2"/>
        <scheme val="minor"/>
      </rPr>
      <t>Pulver S</t>
    </r>
  </si>
  <si>
    <r>
      <t xml:space="preserve">OPC </t>
    </r>
    <r>
      <rPr>
        <i/>
        <sz val="11"/>
        <color theme="3"/>
        <rFont val="Calibri"/>
        <family val="2"/>
        <scheme val="minor"/>
      </rPr>
      <t>Pulver M</t>
    </r>
  </si>
  <si>
    <t xml:space="preserve">Kolloidales Silber  </t>
  </si>
  <si>
    <t>Schwarzkümmel Öl – Kaltgepresst –</t>
  </si>
  <si>
    <t>Beginnend mit 2 Sprühstößen täglich an einem Arm ODER Bein, jeden 2 Tag steigern! Auf danach 3 Sprühstöße, danach 4 bis nach dem achten Tag auf max. 5 Sprüh-Stöße. Diese Dosis sollte nicht überschritten werden. Wichtig! auf saubere Haut Sprühen und 30 min danach nicht mit Kleidung bedecken! Bitte nicht mit der Handinnenfläche Verreiben!</t>
  </si>
  <si>
    <t>Täglich 2 Dosierlöffel Granulat, z.B. in ein Joghurt gerührt oder mit Saft verquirlt</t>
  </si>
  <si>
    <r>
      <t xml:space="preserve">Urgesteinsmehl </t>
    </r>
    <r>
      <rPr>
        <i/>
        <sz val="11"/>
        <color theme="3"/>
        <rFont val="Calibri"/>
        <family val="2"/>
        <scheme val="minor"/>
      </rPr>
      <t>Pulver M</t>
    </r>
  </si>
  <si>
    <t>Verzehren Sie das OPC bitte zeitversetzt zu Ihren klassischen Medikamenten im Abstand von etwa 1/2 Stunden! (NIEMALS gleichzeitig einnehmen)</t>
  </si>
  <si>
    <t>Nehmen Sie bitte Ihr OPC vorzugsweise zusammen mit 1 Portion Vitamin C</t>
  </si>
  <si>
    <t>Erste Woche: 1x1 Kap OPC tägl. 1/2 Std nach dem Frühstück mit einem Glas Wasser
Danach: 1x1 Kap OPC 1/2 Std nach dem Frühstück und 1x1 Kap OPC 1/2 Std nach dem Mittagessen</t>
  </si>
  <si>
    <t>Citricidal Liquid Grapefruitkern-Extrakt</t>
  </si>
  <si>
    <t>Darmflora PROBIOTIKUM</t>
  </si>
  <si>
    <t>Darmflora PROBIOTIKUM 0,5l</t>
  </si>
  <si>
    <t>Vor dem Schlafengehen (ca. 30min), mit einem Glas Orangensaft einnehmen!</t>
  </si>
  <si>
    <t>Nicht mit Magnesium einnehmen, sondern Zeitversätzt!</t>
  </si>
  <si>
    <t>Eisen:</t>
  </si>
  <si>
    <t>Resveratrol</t>
  </si>
  <si>
    <t>Vitamin K2 Kapseln</t>
  </si>
  <si>
    <t>Vitamin C 600</t>
  </si>
  <si>
    <t>Vitamin B Komplex</t>
  </si>
  <si>
    <t>Vitamin B12 kaubar</t>
  </si>
  <si>
    <t>aa</t>
  </si>
  <si>
    <t>0,25 l</t>
  </si>
  <si>
    <t>D³</t>
  </si>
  <si>
    <t>bei Kindern zwischen dem 1. und dem 12. Lebensjahr eine regelmäßige Verabreichung von 140 I.E. Vitamin D pro Kilogramm Körpergewicht. Eine Aufbauphase sei in diesem Alter noch nicht empfehlenswert. Ein vorhandener Mangel solle aber in jedem Fall mit höheren Gaben bis max. 10.000 I.E. / Tag ausgeglichen werden.</t>
  </si>
  <si>
    <r>
      <rPr>
        <b/>
        <sz val="11"/>
        <color theme="3"/>
        <rFont val="Calibri"/>
        <family val="2"/>
        <scheme val="minor"/>
      </rPr>
      <t>Co-Faktoren</t>
    </r>
    <r>
      <rPr>
        <sz val="11"/>
        <color theme="3"/>
        <rFont val="Calibri"/>
        <family val="2"/>
        <scheme val="minor"/>
      </rPr>
      <t xml:space="preserve"> von Vitamin D sehr wichtig, wie Dr. Edalatpour am Ende seines Videos erklärt. Bedingt durch Knochen- und Zahnwachstum ist eine optimale Versorgung mit hochwertigem Vitamin </t>
    </r>
    <r>
      <rPr>
        <b/>
        <sz val="11"/>
        <color theme="3"/>
        <rFont val="Calibri"/>
        <family val="2"/>
        <scheme val="minor"/>
      </rPr>
      <t>K2, Calcium</t>
    </r>
    <r>
      <rPr>
        <sz val="11"/>
        <color theme="3"/>
        <rFont val="Calibri"/>
        <family val="2"/>
        <scheme val="minor"/>
      </rPr>
      <t xml:space="preserve"> und </t>
    </r>
    <r>
      <rPr>
        <b/>
        <sz val="11"/>
        <color theme="3"/>
        <rFont val="Calibri"/>
        <family val="2"/>
        <scheme val="minor"/>
      </rPr>
      <t xml:space="preserve">Magnesium </t>
    </r>
    <r>
      <rPr>
        <sz val="11"/>
        <color theme="3"/>
        <rFont val="Calibri"/>
        <family val="2"/>
        <scheme val="minor"/>
      </rPr>
      <t>von hoher Bedeutung.</t>
    </r>
  </si>
  <si>
    <t>https://sonnenallianz.spitzen-praevention.com/2018/05/30/wie-wichtig-ist-vitamin-d-bei-kindern/</t>
  </si>
  <si>
    <t>Ab 12 Jahren und bei Erwachsenen min 60-70I.E. pro Kilogramm Körpergewicht als Erhaltungsdosis. Die Intialdosis sollte über etwa 7 bis 21 Tage verteilt werden</t>
  </si>
  <si>
    <t>OPC 65</t>
  </si>
  <si>
    <t>5-HTTP + Safran</t>
  </si>
  <si>
    <t>Gaba</t>
  </si>
  <si>
    <t>BiGaia® Tropfen</t>
  </si>
  <si>
    <t>10ml</t>
  </si>
  <si>
    <t>das natürlich vorkommende Milchsäurebakterium Lactobacillus reuteri DSM</t>
  </si>
  <si>
    <t>https://www.paedia.de/produkte/bigaia-tropfen/</t>
  </si>
  <si>
    <t>Vitamin C</t>
  </si>
  <si>
    <t>Dosierung von etwa 1,5 g Vitamin C am Tag</t>
  </si>
  <si>
    <t>DGE sehr niedrig angesetzte Vitamin-C-Bedarf von etwa 100 mg/Tag decken, wobei die DGE bei ihren Empfehlungen vom Bedarf gesunder Menschen ausgeht.</t>
  </si>
  <si>
    <t>effektiv vor Erkrankungen zu schützen (bis 1,5 g) und Gesundungsprozesse herbeizuführen (bis 3 g),</t>
  </si>
  <si>
    <t>die nach orthomolekularen Grundsätzen arbeitenden Ärzte: Sie fordern wirkliche "Megamengen" von 3-10 Gramm am Tag.</t>
  </si>
  <si>
    <t>Darm Aktiv</t>
  </si>
  <si>
    <t>200 g Pulver</t>
  </si>
  <si>
    <t>4. Quartal</t>
  </si>
  <si>
    <t>3. Quartal</t>
  </si>
  <si>
    <t>2. Quartal</t>
  </si>
  <si>
    <t>1. Quartal</t>
  </si>
  <si>
    <t>Porto</t>
  </si>
  <si>
    <t>Omega - 3 Algenöl</t>
  </si>
  <si>
    <t>Magnesium ÖL Spray</t>
  </si>
  <si>
    <t>Vita Biosa groß</t>
  </si>
  <si>
    <t>Vitamin B12 Tropfen</t>
  </si>
  <si>
    <t>Vitamin C 1000</t>
  </si>
  <si>
    <t>Summe gesammt</t>
  </si>
  <si>
    <r>
      <t xml:space="preserve">Summe </t>
    </r>
    <r>
      <rPr>
        <b/>
        <sz val="11"/>
        <color theme="1"/>
        <rFont val="Calibri"/>
        <family val="2"/>
        <scheme val="minor"/>
      </rPr>
      <t>EK</t>
    </r>
  </si>
  <si>
    <r>
      <t xml:space="preserve">Summe </t>
    </r>
    <r>
      <rPr>
        <b/>
        <sz val="11"/>
        <color theme="1"/>
        <rFont val="Calibri"/>
        <family val="2"/>
        <scheme val="minor"/>
      </rPr>
      <t>VK</t>
    </r>
  </si>
  <si>
    <t>Kolloidales Silber Spray 100ml</t>
  </si>
  <si>
    <t>OPC Pulver</t>
  </si>
  <si>
    <r>
      <t xml:space="preserve">MSM </t>
    </r>
    <r>
      <rPr>
        <i/>
        <sz val="11"/>
        <color theme="3"/>
        <rFont val="Calibri"/>
        <family val="2"/>
        <scheme val="minor"/>
      </rPr>
      <t>Pulver</t>
    </r>
  </si>
  <si>
    <t>MSM 1kg</t>
  </si>
  <si>
    <t>Gesammt Umsatz:</t>
  </si>
  <si>
    <t>Inventar Summe</t>
  </si>
  <si>
    <t>Kürbiskern Öl</t>
  </si>
  <si>
    <t>Kürbiskern Öl 250 ml</t>
  </si>
  <si>
    <t>Kürbiskern Öl 500 ml</t>
  </si>
  <si>
    <t>L-Lysin</t>
  </si>
  <si>
    <t>1kg</t>
  </si>
  <si>
    <t>Helicopter Kapseln</t>
  </si>
  <si>
    <t>Aloe Vera - Naturel</t>
  </si>
  <si>
    <t>Aloe Vera - Kapseln</t>
  </si>
  <si>
    <r>
      <t xml:space="preserve">Aloe Vera - Naturel - </t>
    </r>
    <r>
      <rPr>
        <i/>
        <sz val="11"/>
        <color theme="3"/>
        <rFont val="Calibri"/>
        <family val="2"/>
        <scheme val="minor"/>
      </rPr>
      <t>Aktions Set</t>
    </r>
  </si>
  <si>
    <r>
      <t xml:space="preserve">Aloe Vera - Kapseln - </t>
    </r>
    <r>
      <rPr>
        <i/>
        <sz val="11"/>
        <color theme="3"/>
        <rFont val="Calibri"/>
        <family val="2"/>
        <scheme val="minor"/>
      </rPr>
      <t>Aktions Set</t>
    </r>
  </si>
  <si>
    <t>Set OPC + Buch</t>
  </si>
  <si>
    <t>OPC40 + OPC Buch</t>
  </si>
  <si>
    <r>
      <t xml:space="preserve">Vitamin - Elexier </t>
    </r>
    <r>
      <rPr>
        <i/>
        <sz val="11"/>
        <color theme="3"/>
        <rFont val="Calibri"/>
        <family val="2"/>
        <scheme val="minor"/>
      </rPr>
      <t>PLUS</t>
    </r>
  </si>
  <si>
    <t>Olivenblattextrakt 100% - 500ml</t>
  </si>
  <si>
    <t>Olivenblattextrakt 100% - 100ml</t>
  </si>
  <si>
    <t>Brazilian Blend Carimbo</t>
  </si>
  <si>
    <t>Pulver</t>
  </si>
  <si>
    <t>Chlorella Vulgaris</t>
  </si>
  <si>
    <t>Olivenblattextrakt 500mq</t>
  </si>
  <si>
    <t>48346 Ostbevern</t>
  </si>
  <si>
    <t>Nehmen Sie auch ein Zinkpräparat oder Vitamin C ein? Dann sollten Sie wissen, dass dadurch die Aufnahme des Selens behindert werden kann. Nehmen Sie die beiden Präparate am besten zeitversetzt, zum Beispiel mit einem Abstand von zwei bis drei Stunden.</t>
  </si>
  <si>
    <t>WASSERSTOFFPEROXID 4,9 %</t>
  </si>
  <si>
    <t>1x OPC; 1x Vit D3; 1x Vit K2; 1x Vit C; 1x Magnesium Öl</t>
  </si>
  <si>
    <t>MHD überschritten</t>
  </si>
  <si>
    <t>Präsent an Kunde</t>
  </si>
  <si>
    <t>Wasserstofperoxid 100%</t>
  </si>
  <si>
    <t>Olivenblattextrakt 500 mg Kapseln</t>
  </si>
  <si>
    <t>Überdosierung von Zink kann bei Kindern ab 7 mg am Tag, Jugendlichen 22 mg am Tag und Erwachsenen 25 mg am Tag ausgelöst werden</t>
  </si>
  <si>
    <t>https://www.supplementbibel.de/zink-dosierung/</t>
  </si>
  <si>
    <t>Cordyceps Pulver Kapseln für Walhaie</t>
  </si>
  <si>
    <t>Zink - Tropfen</t>
  </si>
  <si>
    <t>Jodavit</t>
  </si>
  <si>
    <t>In ein Glas Wasser oder ein alkoholfreies Getränk einrühren und trinken!</t>
  </si>
  <si>
    <t>3 ml Jodavit als Erwachsener einmal täglich</t>
  </si>
  <si>
    <r>
      <rPr>
        <b/>
        <sz val="11"/>
        <color theme="3"/>
        <rFont val="Calibri"/>
        <family val="2"/>
        <scheme val="minor"/>
      </rPr>
      <t>Schwangere</t>
    </r>
    <r>
      <rPr>
        <sz val="11"/>
        <color theme="3"/>
        <rFont val="Calibri"/>
        <family val="2"/>
        <scheme val="minor"/>
      </rPr>
      <t xml:space="preserve"> und </t>
    </r>
    <r>
      <rPr>
        <b/>
        <sz val="11"/>
        <color theme="3"/>
        <rFont val="Calibri"/>
        <family val="2"/>
        <scheme val="minor"/>
      </rPr>
      <t>Stillende</t>
    </r>
    <r>
      <rPr>
        <sz val="11"/>
        <color theme="3"/>
        <rFont val="Calibri"/>
        <family val="2"/>
        <scheme val="minor"/>
      </rPr>
      <t xml:space="preserve"> sollten eine erhöhte Dosis von 5 ml</t>
    </r>
  </si>
  <si>
    <t>Eine Flasche Jodavit bietet Ihnen somit 83 Portionen bei 3 ml täglich oder 50 Portionen bei 5 ml täglich</t>
  </si>
  <si>
    <t>http://www.jodavit.de/</t>
  </si>
  <si>
    <t>48231 Warendorf</t>
  </si>
  <si>
    <t>NE Mathies</t>
  </si>
  <si>
    <t>05423/3289583</t>
  </si>
  <si>
    <t>Mahlzeit</t>
  </si>
  <si>
    <t>Morgen</t>
  </si>
  <si>
    <t>Mittag</t>
  </si>
  <si>
    <t>Abend</t>
  </si>
  <si>
    <r>
      <t xml:space="preserve">Außerhalb der Reichweite von Kindern aufbewahren. </t>
    </r>
    <r>
      <rPr>
        <b/>
        <sz val="11"/>
        <color theme="3"/>
        <rFont val="Calibri"/>
        <family val="2"/>
        <scheme val="minor"/>
      </rPr>
      <t>Immer mit einem Glas Wasser einnehmen!</t>
    </r>
  </si>
  <si>
    <t>Inhalt / Kosten</t>
  </si>
  <si>
    <t>Getein Covid-19 Laien Schnelltest</t>
  </si>
  <si>
    <t>Augenkapseln</t>
  </si>
  <si>
    <t>Magnesium</t>
  </si>
  <si>
    <t>150 Tabletten</t>
  </si>
  <si>
    <t>Vitamin A</t>
  </si>
  <si>
    <t>Zink Tropfen</t>
  </si>
  <si>
    <t>Kosten</t>
  </si>
  <si>
    <t>Augen-Kapseln</t>
  </si>
  <si>
    <t>Inventur am:2</t>
  </si>
  <si>
    <t>Maqui-Augen-Kapseln</t>
  </si>
  <si>
    <t>Basenpulver</t>
  </si>
  <si>
    <t>0,5 kg</t>
  </si>
  <si>
    <t>BOR</t>
  </si>
  <si>
    <t>B12</t>
  </si>
  <si>
    <t>dass ihr zusätzlich zum Vitamin B12 Spiegel auch noch euren Holo-TC-Wert (die aktive Form von Vitamin B12) bestimmen lassen möchtet.</t>
  </si>
  <si>
    <t>https://www.deutschlandistvegan.de/vitamin-b12-b12-selber-spritzen/</t>
  </si>
  <si>
    <t>Quelle</t>
  </si>
  <si>
    <t>https://albert-schweitzer-stiftung.de/themen/vegan-gesund</t>
  </si>
  <si>
    <t>Gelenkkapseln</t>
  </si>
  <si>
    <t>https://www.sports-health.de/blog/wann_einnehmen#ashwagandha</t>
  </si>
  <si>
    <r>
      <t xml:space="preserve">Die Ware ist vom </t>
    </r>
    <r>
      <rPr>
        <b/>
        <sz val="11"/>
        <color theme="3"/>
        <rFont val="Calibri"/>
        <family val="2"/>
        <scheme val="minor"/>
      </rPr>
      <t>Umtausch</t>
    </r>
    <r>
      <rPr>
        <sz val="11"/>
        <color theme="3"/>
        <rFont val="Calibri"/>
        <family val="2"/>
        <scheme val="minor"/>
      </rPr>
      <t xml:space="preserve"> / </t>
    </r>
    <r>
      <rPr>
        <b/>
        <sz val="11"/>
        <color theme="3"/>
        <rFont val="Calibri"/>
        <family val="2"/>
        <scheme val="minor"/>
      </rPr>
      <t>Rückgabe</t>
    </r>
    <r>
      <rPr>
        <sz val="11"/>
        <color theme="3"/>
        <rFont val="Calibri"/>
        <family val="2"/>
        <scheme val="minor"/>
      </rPr>
      <t xml:space="preserve"> ausgeschlossen!</t>
    </r>
  </si>
  <si>
    <r>
      <rPr>
        <b/>
        <sz val="11"/>
        <color theme="3"/>
        <rFont val="Calibri"/>
        <family val="2"/>
        <scheme val="minor"/>
      </rPr>
      <t>Hinweise:</t>
    </r>
    <r>
      <rPr>
        <sz val="11"/>
        <color theme="3"/>
        <rFont val="Calibri"/>
        <family val="2"/>
        <scheme val="minor"/>
      </rPr>
      <t xml:space="preserve"> Nahrungsergänzungsmittel sind </t>
    </r>
    <r>
      <rPr>
        <b/>
        <sz val="11"/>
        <color theme="3"/>
        <rFont val="Calibri"/>
        <family val="2"/>
        <scheme val="minor"/>
      </rPr>
      <t>kein Ersatz</t>
    </r>
    <r>
      <rPr>
        <sz val="11"/>
        <color theme="3"/>
        <rFont val="Calibri"/>
        <family val="2"/>
        <scheme val="minor"/>
      </rPr>
      <t xml:space="preserve"> für eine ausgewogene und abwechslungsreiche Ernährung sowie eine gesunde Lebensweise. Die Verzehrempfehlung darf nicht überschritten werden. </t>
    </r>
  </si>
  <si>
    <t>500 g</t>
  </si>
  <si>
    <t>Manukaöl</t>
  </si>
  <si>
    <t>10 ml</t>
  </si>
  <si>
    <t>250g</t>
  </si>
  <si>
    <t>Astaxanthin</t>
  </si>
  <si>
    <t>L-Glutathion</t>
  </si>
  <si>
    <t>Magnesium Komplex 8-fach</t>
  </si>
  <si>
    <t>30 ml</t>
  </si>
  <si>
    <t>Manuka Honig 700 mgo+ Aktion anstatt 89,99€</t>
  </si>
  <si>
    <t>Lipo Vitamin Forte 5000</t>
  </si>
  <si>
    <t>Carnitin &amp; Q10</t>
  </si>
  <si>
    <t>N1</t>
  </si>
  <si>
    <t>N2</t>
  </si>
  <si>
    <t>Größe S</t>
  </si>
  <si>
    <t>Größe M</t>
  </si>
  <si>
    <t>Heideweg 1</t>
  </si>
  <si>
    <t>Vitamin D 2000</t>
  </si>
  <si>
    <t>Vitamin K2Vital</t>
  </si>
  <si>
    <t>5-HTP 150</t>
  </si>
  <si>
    <t>Vitamin D3 &amp; K2</t>
  </si>
  <si>
    <t>Hydro­Vitamine B+C</t>
  </si>
  <si>
    <t>MSM Pulver S</t>
  </si>
  <si>
    <t>MSM Pulver M</t>
  </si>
  <si>
    <t>MamaFit</t>
  </si>
  <si>
    <t>AminoAktivator</t>
  </si>
  <si>
    <t>24,67 €</t>
  </si>
  <si>
    <t>35,72 €</t>
  </si>
  <si>
    <t>Arginin 2000</t>
  </si>
  <si>
    <t>25,97 €</t>
  </si>
  <si>
    <t>19,47 €</t>
  </si>
  <si>
    <t>22,72 €</t>
  </si>
  <si>
    <t>12,97 €</t>
  </si>
  <si>
    <t>20 ml / 600 Tropfen</t>
  </si>
  <si>
    <t>15 ml / 525 Tropfen</t>
  </si>
  <si>
    <t>90 Kapseln B und C-Komplex</t>
  </si>
  <si>
    <t>180 Kapseln Vit B + R-Alpha</t>
  </si>
  <si>
    <t>29,22 €</t>
  </si>
  <si>
    <t>90 Kapseln Carnitin+ Q10 Komplex</t>
  </si>
  <si>
    <t>SpektrA-Z</t>
  </si>
  <si>
    <t>360 Kapseln</t>
  </si>
  <si>
    <t>38,97 €</t>
  </si>
  <si>
    <t>Melatonin</t>
  </si>
  <si>
    <t>HeparAktiv</t>
  </si>
  <si>
    <t>BIO Grapefruitextrakt</t>
  </si>
  <si>
    <t>D3, E, K, A Tropfen 20ml</t>
  </si>
  <si>
    <t>VITALITY Darmelixier</t>
  </si>
  <si>
    <t>1 L</t>
  </si>
  <si>
    <t>OPC+C</t>
  </si>
  <si>
    <t>Cordyceps Kapseln</t>
  </si>
  <si>
    <t>rel. Gewinn</t>
  </si>
  <si>
    <t>Lactoferrin</t>
  </si>
  <si>
    <t>Bioferrin®, Eisen (Glycinat &amp; Fumarat) &amp; Vitamin C</t>
  </si>
  <si>
    <t>27,92 €</t>
  </si>
  <si>
    <r>
      <rPr>
        <b/>
        <sz val="8"/>
        <color theme="1"/>
        <rFont val="Calibri"/>
        <family val="2"/>
        <scheme val="minor"/>
      </rPr>
      <t>V</t>
    </r>
    <r>
      <rPr>
        <sz val="8"/>
        <color theme="1"/>
        <rFont val="Calibri"/>
        <family val="2"/>
        <scheme val="minor"/>
      </rPr>
      <t xml:space="preserve"> = vor; </t>
    </r>
    <r>
      <rPr>
        <b/>
        <sz val="8"/>
        <color theme="1"/>
        <rFont val="Calibri"/>
        <family val="2"/>
        <scheme val="minor"/>
      </rPr>
      <t>Z</t>
    </r>
    <r>
      <rPr>
        <sz val="8"/>
        <color theme="1"/>
        <rFont val="Calibri"/>
        <family val="2"/>
        <scheme val="minor"/>
      </rPr>
      <t xml:space="preserve"> = zur; </t>
    </r>
    <r>
      <rPr>
        <b/>
        <sz val="8"/>
        <color theme="1"/>
        <rFont val="Calibri"/>
        <family val="2"/>
        <scheme val="minor"/>
      </rPr>
      <t>N</t>
    </r>
    <r>
      <rPr>
        <sz val="8"/>
        <color theme="1"/>
        <rFont val="Calibri"/>
        <family val="2"/>
        <scheme val="minor"/>
      </rPr>
      <t xml:space="preserve"> = nach der Mahlzeit</t>
    </r>
  </si>
  <si>
    <t>Neuro-Idealis</t>
  </si>
  <si>
    <t>Melatonin Tropfen</t>
  </si>
  <si>
    <t>0.05 Liter</t>
  </si>
  <si>
    <t>Abschreibung / MHD Überschritten</t>
  </si>
  <si>
    <t>PäPKi Übungen</t>
  </si>
  <si>
    <t>vom:</t>
  </si>
  <si>
    <t>Übungsdauer:</t>
  </si>
  <si>
    <t>an:</t>
  </si>
  <si>
    <t>Text:</t>
  </si>
  <si>
    <t xml:space="preserve">Hallo,
Anbei meine Bestellung:
Meine KdNr: 54428 bzw. 68388 bei Dogenesis. Bitte die Rechnung digital – teilen Sie mir mit welche Produkte evtl. nicht lieferbar sind und wann ich mit der Lieferung rechnen kann.
</t>
  </si>
  <si>
    <t>N3</t>
  </si>
  <si>
    <t>N4</t>
  </si>
  <si>
    <t>N5</t>
  </si>
  <si>
    <t>N6</t>
  </si>
  <si>
    <t>N7</t>
  </si>
  <si>
    <t>N8</t>
  </si>
  <si>
    <t>N9</t>
  </si>
  <si>
    <t>N10</t>
  </si>
  <si>
    <t>N11</t>
  </si>
  <si>
    <t>N12</t>
  </si>
  <si>
    <t>N13</t>
  </si>
  <si>
    <t>N14</t>
  </si>
  <si>
    <t>N15</t>
  </si>
  <si>
    <t>N16</t>
  </si>
  <si>
    <t>N17</t>
  </si>
  <si>
    <t>N18</t>
  </si>
  <si>
    <t>Omega-3 Kapseln</t>
  </si>
  <si>
    <t>90 Weichkapseln</t>
  </si>
  <si>
    <t>N19</t>
  </si>
  <si>
    <t>TendoDyn</t>
  </si>
  <si>
    <t>Abschreibung / MHD abgelaufen</t>
  </si>
  <si>
    <t>N20</t>
  </si>
  <si>
    <t>HerzGlück</t>
  </si>
  <si>
    <t>120 Kapseln HPMC</t>
  </si>
  <si>
    <t>Anna Matis</t>
  </si>
  <si>
    <t>NE Mathies - Niedernstr.2 - 33775 Versmold</t>
  </si>
  <si>
    <t>N-Zymarase Gluten</t>
  </si>
  <si>
    <t>N-Zymarase Intest</t>
  </si>
  <si>
    <t>Vitstoff-Komplex</t>
  </si>
  <si>
    <t>Silizium-3-Komplex</t>
  </si>
  <si>
    <t>Magnetovit + Calcium</t>
  </si>
  <si>
    <t xml:space="preserve"> 250 ml</t>
  </si>
  <si>
    <t>gewerbekunden@franz-naturversand.de</t>
  </si>
  <si>
    <t>Steuer-Nr.: 351/5156/2742</t>
  </si>
  <si>
    <t>Versand &amp; Porto</t>
  </si>
  <si>
    <t>Schwarzkümmel Öl Bio</t>
  </si>
  <si>
    <t>Silizium</t>
  </si>
  <si>
    <t>Bitte unbedingt die Rechnungsnummer angeben!</t>
  </si>
  <si>
    <t>LipoVitamine® Forte 10.000</t>
  </si>
  <si>
    <t>Calcium &amp; Magnesium</t>
  </si>
  <si>
    <t>300 Kapseln</t>
  </si>
  <si>
    <t>N21</t>
  </si>
  <si>
    <t>N22</t>
  </si>
  <si>
    <t>N23</t>
  </si>
  <si>
    <t>N24</t>
  </si>
  <si>
    <t>N25</t>
  </si>
  <si>
    <t>N26</t>
  </si>
  <si>
    <t>Haar Komplex - Haare, Haut &amp; Nägel</t>
  </si>
  <si>
    <t>N27</t>
  </si>
  <si>
    <t>OrgaMin Kapseln</t>
  </si>
  <si>
    <t>Jod 200</t>
  </si>
  <si>
    <t>SchilddrüsenGlück</t>
  </si>
  <si>
    <r>
      <t xml:space="preserve">Sie sind </t>
    </r>
    <r>
      <rPr>
        <b/>
        <sz val="8.5"/>
        <color theme="1"/>
        <rFont val="Calibri"/>
        <family val="2"/>
        <scheme val="minor"/>
      </rPr>
      <t>herzlich</t>
    </r>
    <r>
      <rPr>
        <sz val="8.5"/>
        <color theme="1"/>
        <rFont val="Calibri"/>
        <family val="2"/>
        <scheme val="minor"/>
      </rPr>
      <t xml:space="preserve"> zum Gottesdienst </t>
    </r>
    <r>
      <rPr>
        <b/>
        <sz val="8.5"/>
        <color theme="1"/>
        <rFont val="Calibri"/>
        <family val="2"/>
        <scheme val="minor"/>
      </rPr>
      <t>eingeladen!</t>
    </r>
    <r>
      <rPr>
        <sz val="8.5"/>
        <color theme="1"/>
        <rFont val="Calibri"/>
        <family val="2"/>
        <scheme val="minor"/>
      </rPr>
      <t xml:space="preserve"> Jeden </t>
    </r>
    <r>
      <rPr>
        <b/>
        <sz val="8.5"/>
        <color theme="1"/>
        <rFont val="Calibri"/>
        <family val="2"/>
        <scheme val="minor"/>
      </rPr>
      <t>Sonntag um 10 Uhr</t>
    </r>
    <r>
      <rPr>
        <sz val="8.5"/>
        <color theme="1"/>
        <rFont val="Calibri"/>
        <family val="2"/>
        <scheme val="minor"/>
      </rPr>
      <t xml:space="preserve"> im Bethaus der Mennoniten-Brüder-Gemeinde. Bockhorster Landweg 24 - 33775 Versmold</t>
    </r>
  </si>
  <si>
    <t>N28</t>
  </si>
  <si>
    <t>N29</t>
  </si>
  <si>
    <t>N30</t>
  </si>
  <si>
    <t>N31</t>
  </si>
  <si>
    <t>Magnesia 7+1</t>
  </si>
  <si>
    <t>OrgaMin® Pulver</t>
  </si>
  <si>
    <t>Pulver 301g</t>
  </si>
  <si>
    <t>4 Wochen</t>
  </si>
  <si>
    <t>ktape for me</t>
  </si>
  <si>
    <t>Menstruation</t>
  </si>
  <si>
    <t>Einnahme empfehlung</t>
  </si>
  <si>
    <t>Bioaktiver B-Komplex</t>
  </si>
  <si>
    <t>Lithium Orotat Set</t>
  </si>
  <si>
    <t>Lange Str. 19</t>
  </si>
  <si>
    <t>Jod</t>
  </si>
  <si>
    <t>0/1/1</t>
  </si>
  <si>
    <t>Naqi Massagelotion</t>
  </si>
  <si>
    <t>MikroVeda LIFE</t>
  </si>
  <si>
    <t>Preis2026 EK</t>
  </si>
  <si>
    <t>Preis2026 VK</t>
  </si>
  <si>
    <t>Inventur am: 15.02.26</t>
  </si>
  <si>
    <t>Inventur am:</t>
  </si>
  <si>
    <t>Inventur am: 0#</t>
  </si>
  <si>
    <t>Eigenbedarf 26</t>
  </si>
  <si>
    <t>Grapefruitextrakt BIO</t>
  </si>
  <si>
    <t>J. Dick *08.02.2007</t>
  </si>
  <si>
    <r>
      <t xml:space="preserve">NE Mathies  . </t>
    </r>
    <r>
      <rPr>
        <sz val="10"/>
        <color theme="3"/>
        <rFont val="Calibri"/>
        <family val="2"/>
        <scheme val="major"/>
      </rPr>
      <t xml:space="preserve">Lange Str. 19  </t>
    </r>
    <r>
      <rPr>
        <b/>
        <sz val="10"/>
        <color theme="3"/>
        <rFont val="Calibri"/>
        <family val="2"/>
        <scheme val="major"/>
      </rPr>
      <t>.</t>
    </r>
    <r>
      <rPr>
        <sz val="10"/>
        <color theme="3"/>
        <rFont val="Calibri"/>
        <family val="2"/>
        <scheme val="major"/>
      </rPr>
      <t xml:space="preserve">  33775 Versmold</t>
    </r>
  </si>
  <si>
    <t>Paradies-Trunk</t>
  </si>
  <si>
    <t>Vitamin C 300mg Acerolakirsch Lutschpastillen</t>
  </si>
  <si>
    <t>140 Pastillen</t>
  </si>
  <si>
    <t>1/1/0</t>
  </si>
  <si>
    <t>Emily Wiens</t>
  </si>
  <si>
    <t>0,5 ml</t>
  </si>
  <si>
    <t>Dosierset 500ml</t>
  </si>
  <si>
    <t>Vit D3+K2 4.000 I.E.</t>
  </si>
  <si>
    <t>26NE039</t>
  </si>
  <si>
    <t>26NE041</t>
  </si>
  <si>
    <t>26NE042</t>
  </si>
  <si>
    <t>Lieschen Müller</t>
  </si>
  <si>
    <t>Hufeisenwg 13</t>
  </si>
  <si>
    <t>12345 Pfaffenhausen</t>
  </si>
  <si>
    <t>123456 45621</t>
  </si>
  <si>
    <t>model@mail.test</t>
  </si>
  <si>
    <t>26NE0145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</si>
</sst>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1">
    <numFmt numFmtId="8" formatCode="#,##0.00\ &quot;€&quot;;[Red]\-#,##0.00\ &quot;€&quot;"/>
    <numFmt numFmtId="44" formatCode="_-* #,##0.00\ &quot;€&quot;_-;\-* #,##0.00\ &quot;€&quot;_-;_-* &quot;-&quot;??\ &quot;€&quot;_-;_-@_-"/>
    <numFmt numFmtId="164" formatCode="_(* #,##0_);_(* \(#,##0\);_(* &quot;-&quot;_);_(@_)"/>
    <numFmt numFmtId="165" formatCode="_(* #,##0.00_);_(* \(#,##0.00\);_(* &quot;-&quot;??_);_(@_)"/>
    <numFmt numFmtId="166" formatCode="0;0;;@"/>
    <numFmt numFmtId="167" formatCode="[&lt;=9999999]###\-####;###\-###\-####"/>
    <numFmt numFmtId="168" formatCode="#,##0.00\ &quot;€&quot;"/>
    <numFmt numFmtId="169" formatCode="_-* #,##0.00\ [$€-407]_-;\-* #,##0.00\ [$€-407]_-;_-* &quot;-&quot;??\ [$€-407]_-;_-@_-"/>
    <numFmt numFmtId="170" formatCode="#,##0.00\ [$€];[Red]\-#,##0.00\ [$€]"/>
    <numFmt numFmtId="171" formatCode="_-* #,##0.0000000\ &quot;€&quot;_-;\-* #,##0.0000000\ &quot;€&quot;_-;_-* &quot;-&quot;??\ &quot;€&quot;_-;_-@_-"/>
    <numFmt numFmtId="172" formatCode="[$-407]d/\ mmmm\ yyyy;@"/>
  </numFmts>
  <fonts count="78">
    <font>
      <sz val="11"/>
      <color theme="3"/>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sz val="10"/>
      <name val="Calibri"/>
      <family val="2"/>
      <scheme val="minor"/>
    </font>
    <font>
      <sz val="10"/>
      <color theme="2" tint="-0.749992370372631"/>
      <name val="Calibri"/>
      <family val="2"/>
      <scheme val="minor"/>
    </font>
    <font>
      <b/>
      <sz val="28"/>
      <color theme="3"/>
      <name val="Calibri"/>
      <family val="2"/>
      <scheme val="major"/>
    </font>
    <font>
      <b/>
      <sz val="11"/>
      <color theme="3"/>
      <name val="Calibri"/>
      <family val="2"/>
      <scheme val="minor"/>
    </font>
    <font>
      <b/>
      <sz val="11"/>
      <color theme="1"/>
      <name val="Calibri"/>
      <family val="2"/>
      <scheme val="minor"/>
    </font>
    <font>
      <sz val="11"/>
      <color theme="3"/>
      <name val="Calibri"/>
      <family val="2"/>
      <scheme val="minor"/>
    </font>
    <font>
      <sz val="11"/>
      <color theme="3"/>
      <name val="Calibri"/>
      <family val="2"/>
      <scheme val="major"/>
    </font>
    <font>
      <sz val="11"/>
      <color theme="0"/>
      <name val="Calibri"/>
      <family val="2"/>
      <scheme val="minor"/>
    </font>
    <font>
      <b/>
      <sz val="10"/>
      <color theme="3"/>
      <name val="Calibri"/>
      <family val="2"/>
      <scheme val="major"/>
    </font>
    <font>
      <sz val="10"/>
      <color theme="3"/>
      <name val="Calibri"/>
      <family val="2"/>
      <scheme val="major"/>
    </font>
    <font>
      <b/>
      <sz val="14"/>
      <color theme="3"/>
      <name val="Calibri"/>
      <family val="2"/>
      <scheme val="minor"/>
    </font>
    <font>
      <sz val="14"/>
      <color theme="3"/>
      <name val="Calibri"/>
      <family val="2"/>
      <scheme val="minor"/>
    </font>
    <font>
      <sz val="14"/>
      <name val="Calibri"/>
      <family val="2"/>
      <scheme val="minor"/>
    </font>
    <font>
      <b/>
      <sz val="20"/>
      <color theme="3"/>
      <name val="Calibri"/>
      <family val="2"/>
      <scheme val="minor"/>
    </font>
    <font>
      <b/>
      <sz val="14"/>
      <color theme="2" tint="-0.249977111117893"/>
      <name val="Calibri"/>
      <family val="2"/>
      <scheme val="minor"/>
    </font>
    <font>
      <i/>
      <sz val="12"/>
      <color theme="3"/>
      <name val="Calibri"/>
      <family val="2"/>
      <scheme val="minor"/>
    </font>
    <font>
      <sz val="14"/>
      <color theme="4" tint="-0.249977111117893"/>
      <name val="Lucida Handwriting"/>
      <family val="4"/>
    </font>
    <font>
      <i/>
      <sz val="11"/>
      <color theme="3"/>
      <name val="Calibri"/>
      <family val="2"/>
      <scheme val="minor"/>
    </font>
    <font>
      <sz val="12"/>
      <color theme="3"/>
      <name val="Calibri"/>
      <family val="2"/>
      <scheme val="minor"/>
    </font>
    <font>
      <b/>
      <sz val="12"/>
      <color theme="3"/>
      <name val="Calibri"/>
      <family val="2"/>
      <scheme val="minor"/>
    </font>
    <font>
      <b/>
      <sz val="12"/>
      <color theme="3"/>
      <name val="Ink Free"/>
      <family val="4"/>
    </font>
    <font>
      <b/>
      <sz val="16"/>
      <color theme="3"/>
      <name val="Calibri"/>
      <family val="2"/>
      <scheme val="minor"/>
    </font>
    <font>
      <b/>
      <sz val="14"/>
      <color theme="3"/>
      <name val="Ink Free"/>
      <family val="4"/>
    </font>
    <font>
      <sz val="8"/>
      <name val="Calibri"/>
      <family val="2"/>
      <scheme val="minor"/>
    </font>
    <font>
      <sz val="10"/>
      <name val="TimesNewRomanPS"/>
    </font>
    <font>
      <sz val="11"/>
      <color theme="3"/>
      <name val="Calibri"/>
      <family val="2"/>
    </font>
    <font>
      <u/>
      <sz val="11"/>
      <color theme="10"/>
      <name val="Calibri"/>
      <family val="2"/>
      <scheme val="minor"/>
    </font>
    <font>
      <i/>
      <sz val="11"/>
      <color theme="2" tint="-0.499984740745262"/>
      <name val="Calibri"/>
      <family val="2"/>
      <scheme val="minor"/>
    </font>
    <font>
      <i/>
      <sz val="11"/>
      <color theme="1"/>
      <name val="Calibri"/>
      <family val="2"/>
      <scheme val="minor"/>
    </font>
    <font>
      <sz val="18"/>
      <color theme="3"/>
      <name val="Calibri"/>
      <family val="2"/>
      <scheme val="major"/>
    </font>
    <font>
      <sz val="11"/>
      <color theme="0" tint="-0.499984740745262"/>
      <name val="Calibri"/>
      <family val="2"/>
      <scheme val="minor"/>
    </font>
    <font>
      <b/>
      <i/>
      <sz val="11"/>
      <color theme="0" tint="-0.499984740745262"/>
      <name val="Calibri"/>
      <family val="2"/>
      <scheme val="minor"/>
    </font>
    <font>
      <sz val="11"/>
      <color theme="8"/>
      <name val="Calibri"/>
      <family val="2"/>
      <scheme val="minor"/>
    </font>
    <font>
      <sz val="11"/>
      <color theme="0" tint="-0.249977111117893"/>
      <name val="Calibri"/>
      <family val="2"/>
      <scheme val="minor"/>
    </font>
    <font>
      <sz val="8"/>
      <color theme="1"/>
      <name val="Calibri"/>
      <family val="2"/>
      <scheme val="minor"/>
    </font>
    <font>
      <sz val="12"/>
      <color theme="1"/>
      <name val="Calibri"/>
      <family val="2"/>
      <scheme val="major"/>
    </font>
    <font>
      <i/>
      <sz val="11"/>
      <color theme="0" tint="-0.499984740745262"/>
      <name val="Calibri"/>
      <family val="2"/>
      <scheme val="minor"/>
    </font>
    <font>
      <b/>
      <sz val="18"/>
      <color theme="1"/>
      <name val="Calibri"/>
      <family val="2"/>
      <scheme val="minor"/>
    </font>
    <font>
      <b/>
      <sz val="20"/>
      <color theme="1"/>
      <name val="Calibri"/>
      <family val="2"/>
      <scheme val="minor"/>
    </font>
    <font>
      <sz val="14"/>
      <color theme="1"/>
      <name val="Calibri"/>
      <family val="2"/>
      <scheme val="minor"/>
    </font>
    <font>
      <sz val="11"/>
      <color rgb="FFFF0000"/>
      <name val="Calibri"/>
      <family val="2"/>
      <scheme val="minor"/>
    </font>
    <font>
      <sz val="14"/>
      <color rgb="FFFF0000"/>
      <name val="Calibri"/>
      <family val="2"/>
      <scheme val="minor"/>
    </font>
    <font>
      <i/>
      <sz val="11"/>
      <color rgb="FFFF0000"/>
      <name val="Calibri"/>
      <family val="2"/>
      <scheme val="minor"/>
    </font>
    <font>
      <b/>
      <i/>
      <sz val="11"/>
      <color rgb="FFFF0000"/>
      <name val="Calibri"/>
      <family val="2"/>
      <scheme val="minor"/>
    </font>
    <font>
      <b/>
      <sz val="14"/>
      <color rgb="FFFF0000"/>
      <name val="Calibri"/>
      <family val="2"/>
      <scheme val="minor"/>
    </font>
    <font>
      <sz val="11"/>
      <color theme="0" tint="-0.34998626667073579"/>
      <name val="Calibri"/>
      <family val="2"/>
      <scheme val="minor"/>
    </font>
    <font>
      <b/>
      <sz val="8"/>
      <color theme="1"/>
      <name val="Calibri"/>
      <family val="2"/>
      <scheme val="minor"/>
    </font>
    <font>
      <i/>
      <sz val="10"/>
      <color theme="1"/>
      <name val="Calibri"/>
      <family val="2"/>
      <scheme val="minor"/>
    </font>
    <font>
      <sz val="11"/>
      <name val="Calibri"/>
      <family val="2"/>
      <scheme val="minor"/>
    </font>
    <font>
      <b/>
      <sz val="11"/>
      <color rgb="FFFF0000"/>
      <name val="Calibri"/>
      <family val="2"/>
      <scheme val="minor"/>
    </font>
    <font>
      <b/>
      <sz val="10"/>
      <color theme="1"/>
      <name val="Calibri"/>
      <family val="2"/>
      <scheme val="minor"/>
    </font>
    <font>
      <sz val="6.5"/>
      <color theme="1"/>
      <name val="Calibri"/>
      <family val="2"/>
      <scheme val="minor"/>
    </font>
    <font>
      <sz val="11"/>
      <color theme="3" tint="0.59999389629810485"/>
      <name val="Calibri"/>
      <family val="2"/>
      <scheme val="minor"/>
    </font>
    <font>
      <i/>
      <sz val="11"/>
      <color theme="5"/>
      <name val="Calibri"/>
      <family val="2"/>
      <scheme val="minor"/>
    </font>
    <font>
      <u/>
      <sz val="12"/>
      <color theme="3"/>
      <name val="Calibri"/>
      <family val="2"/>
      <scheme val="major"/>
    </font>
    <font>
      <i/>
      <sz val="14"/>
      <color theme="3"/>
      <name val="Calibri"/>
      <family val="2"/>
      <scheme val="minor"/>
    </font>
    <font>
      <sz val="8.5"/>
      <color theme="1"/>
      <name val="Calibri"/>
      <family val="2"/>
      <scheme val="minor"/>
    </font>
    <font>
      <b/>
      <sz val="8.5"/>
      <color theme="1"/>
      <name val="Calibri"/>
      <family val="2"/>
      <scheme val="minor"/>
    </font>
    <font>
      <sz val="10"/>
      <color theme="3"/>
      <name val="Calibri"/>
      <family val="2"/>
      <scheme val="minor"/>
    </font>
    <font>
      <sz val="12"/>
      <name val="Calibri"/>
      <family val="2"/>
      <scheme val="major"/>
    </font>
  </fonts>
  <fills count="7">
    <fill>
      <patternFill patternType="none"/>
    </fill>
    <fill>
      <patternFill patternType="gray125"/>
    </fill>
    <fill>
      <patternFill patternType="solid">
        <fgColor rgb="FFFFFFCC"/>
      </patternFill>
    </fill>
    <fill>
      <patternFill patternType="solid">
        <fgColor theme="4" tint="0.79998168889431442"/>
        <bgColor indexed="64"/>
      </patternFill>
    </fill>
    <fill>
      <patternFill patternType="solid">
        <fgColor theme="8" tint="0.79998168889431442"/>
        <bgColor indexed="64"/>
      </patternFill>
    </fill>
    <fill>
      <patternFill patternType="solid">
        <fgColor rgb="FFFFFF00"/>
        <bgColor indexed="64"/>
      </patternFill>
    </fill>
    <fill>
      <patternFill patternType="solid">
        <fgColor theme="3" tint="0.79998168889431442"/>
        <bgColor indexed="64"/>
      </patternFill>
    </fill>
  </fills>
  <borders count="33">
    <border>
      <left/>
      <right/>
      <top/>
      <bottom/>
      <diagonal/>
    </border>
    <border>
      <left/>
      <right style="thick">
        <color theme="4" tint="-0.24994659260841701"/>
      </right>
      <top/>
      <bottom/>
      <diagonal/>
    </border>
    <border>
      <left style="thin">
        <color rgb="FFB2B2B2"/>
      </left>
      <right style="thin">
        <color rgb="FFB2B2B2"/>
      </right>
      <top style="thin">
        <color rgb="FFB2B2B2"/>
      </top>
      <bottom style="thin">
        <color rgb="FFB2B2B2"/>
      </bottom>
      <diagonal/>
    </border>
    <border>
      <left/>
      <right/>
      <top/>
      <bottom style="thin">
        <color theme="2" tint="-0.24994659260841701"/>
      </bottom>
      <diagonal/>
    </border>
    <border>
      <left/>
      <right/>
      <top/>
      <bottom style="thin">
        <color theme="4" tint="-0.24994659260841701"/>
      </bottom>
      <diagonal/>
    </border>
    <border>
      <left/>
      <right/>
      <top style="thin">
        <color theme="4"/>
      </top>
      <bottom/>
      <diagonal/>
    </border>
    <border>
      <left/>
      <right/>
      <top/>
      <bottom style="thick">
        <color theme="4" tint="-0.24994659260841701"/>
      </bottom>
      <diagonal/>
    </border>
    <border>
      <left/>
      <right/>
      <top style="thin">
        <color theme="2" tint="-0.24994659260841701"/>
      </top>
      <bottom style="thick">
        <color theme="4" tint="-0.24994659260841701"/>
      </bottom>
      <diagonal/>
    </border>
    <border>
      <left style="thin">
        <color auto="1"/>
      </left>
      <right style="thin">
        <color auto="1"/>
      </right>
      <top/>
      <bottom/>
      <diagonal/>
    </border>
    <border>
      <left/>
      <right/>
      <top/>
      <bottom style="thin">
        <color theme="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theme="4"/>
      </top>
      <bottom style="thin">
        <color theme="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right/>
      <top style="thin">
        <color indexed="64"/>
      </top>
      <bottom/>
      <diagonal/>
    </border>
    <border>
      <left style="thick">
        <color theme="6" tint="0.79998168889431442"/>
      </left>
      <right/>
      <top/>
      <bottom/>
      <diagonal/>
    </border>
    <border>
      <left/>
      <right/>
      <top/>
      <bottom style="medium">
        <color indexed="64"/>
      </bottom>
      <diagonal/>
    </border>
    <border>
      <left/>
      <right/>
      <top style="medium">
        <color indexed="64"/>
      </top>
      <bottom/>
      <diagonal/>
    </border>
    <border>
      <left/>
      <right/>
      <top/>
      <bottom style="thin">
        <color indexed="64"/>
      </bottom>
      <diagonal/>
    </border>
    <border>
      <left style="medium">
        <color theme="4"/>
      </left>
      <right/>
      <top/>
      <bottom/>
      <diagonal/>
    </border>
    <border>
      <left style="thin">
        <color theme="3" tint="0.79998168889431442"/>
      </left>
      <right style="thin">
        <color theme="3" tint="0.79998168889431442"/>
      </right>
      <top/>
      <bottom/>
      <diagonal/>
    </border>
    <border>
      <left/>
      <right/>
      <top style="thin">
        <color theme="5"/>
      </top>
      <bottom style="thin">
        <color theme="5"/>
      </bottom>
      <diagonal/>
    </border>
    <border>
      <left style="thin">
        <color theme="3" tint="0.79998168889431442"/>
      </left>
      <right style="thin">
        <color theme="3" tint="0.79998168889431442"/>
      </right>
      <top style="thin">
        <color theme="5"/>
      </top>
      <bottom style="thin">
        <color theme="5"/>
      </bottom>
      <diagonal/>
    </border>
    <border>
      <left/>
      <right style="thick">
        <color theme="6" tint="0.79995117038483843"/>
      </right>
      <top/>
      <bottom/>
      <diagonal/>
    </border>
    <border>
      <left/>
      <right style="thick">
        <color theme="6" tint="0.79998168889431442"/>
      </right>
      <top/>
      <bottom/>
      <diagonal/>
    </border>
    <border>
      <left/>
      <right style="thick">
        <color theme="6" tint="0.79998168889431442"/>
      </right>
      <top style="thin">
        <color theme="5"/>
      </top>
      <bottom/>
      <diagonal/>
    </border>
    <border>
      <left style="dotted">
        <color auto="1"/>
      </left>
      <right/>
      <top/>
      <bottom/>
      <diagonal/>
    </border>
    <border>
      <left style="dotted">
        <color auto="1"/>
      </left>
      <right/>
      <top/>
      <bottom style="thin">
        <color theme="5"/>
      </bottom>
      <diagonal/>
    </border>
    <border>
      <left/>
      <right/>
      <top style="thin">
        <color theme="5"/>
      </top>
      <bottom/>
      <diagonal/>
    </border>
  </borders>
  <cellStyleXfs count="31">
    <xf numFmtId="0" fontId="0" fillId="0" borderId="0">
      <alignment horizontal="left" vertical="center" wrapText="1"/>
    </xf>
    <xf numFmtId="0" fontId="23" fillId="0" borderId="0" applyNumberFormat="0" applyFill="0" applyBorder="0" applyAlignment="0" applyProtection="0">
      <alignment vertical="center" wrapText="1"/>
    </xf>
    <xf numFmtId="0" fontId="24" fillId="0" borderId="0" applyNumberFormat="0" applyFill="0" applyBorder="0" applyProtection="0">
      <alignment horizontal="left" wrapText="1" indent="2"/>
    </xf>
    <xf numFmtId="0" fontId="24" fillId="0" borderId="0" applyNumberFormat="0" applyFill="0" applyBorder="0" applyProtection="0">
      <alignment horizontal="left" vertical="top" wrapText="1" indent="2"/>
    </xf>
    <xf numFmtId="9" fontId="16" fillId="0" borderId="0" applyFill="0" applyBorder="0" applyProtection="0">
      <alignment horizontal="right" vertical="center" indent="1"/>
    </xf>
    <xf numFmtId="0" fontId="23" fillId="0" borderId="0" applyNumberFormat="0" applyFill="0" applyBorder="0" applyAlignment="0" applyProtection="0">
      <alignment vertical="center" wrapText="1"/>
    </xf>
    <xf numFmtId="2" fontId="20" fillId="0" borderId="0" applyFill="0" applyBorder="0" applyProtection="0">
      <alignment horizontal="left" vertical="center"/>
    </xf>
    <xf numFmtId="165" fontId="23" fillId="0" borderId="0" applyFont="0" applyFill="0" applyBorder="0" applyAlignment="0" applyProtection="0"/>
    <xf numFmtId="164" fontId="23" fillId="0" borderId="0" applyFont="0" applyFill="0" applyBorder="0" applyAlignment="0" applyProtection="0"/>
    <xf numFmtId="168" fontId="23" fillId="0" borderId="0" applyFont="0" applyFill="0" applyBorder="0" applyProtection="0">
      <alignment horizontal="right" vertical="center"/>
    </xf>
    <xf numFmtId="168" fontId="15" fillId="0" borderId="0" applyBorder="0" applyProtection="0">
      <alignment horizontal="right" vertical="center" indent="1"/>
    </xf>
    <xf numFmtId="0" fontId="23" fillId="0" borderId="0" applyNumberFormat="0" applyFill="0" applyProtection="0">
      <alignment horizontal="right" vertical="top" indent="2"/>
    </xf>
    <xf numFmtId="0" fontId="23" fillId="0" borderId="0" applyNumberFormat="0" applyFill="0" applyBorder="0" applyProtection="0">
      <alignment horizontal="right" indent="2"/>
    </xf>
    <xf numFmtId="0" fontId="23" fillId="2" borderId="2" applyNumberFormat="0" applyFont="0" applyAlignment="0" applyProtection="0"/>
    <xf numFmtId="0" fontId="22" fillId="0" borderId="3" applyNumberFormat="0" applyFill="0" applyAlignment="0" applyProtection="0"/>
    <xf numFmtId="0" fontId="23" fillId="0" borderId="1" applyNumberFormat="0" applyFont="0" applyFill="0" applyAlignment="0">
      <alignment vertical="center"/>
    </xf>
    <xf numFmtId="14" fontId="23" fillId="0" borderId="0" applyFont="0" applyFill="0" applyBorder="0" applyAlignment="0" applyProtection="0">
      <alignment horizontal="left" vertical="center"/>
    </xf>
    <xf numFmtId="1" fontId="23" fillId="0" borderId="0" applyFont="0" applyFill="0" applyBorder="0" applyProtection="0">
      <alignment vertical="center"/>
    </xf>
    <xf numFmtId="167" fontId="23" fillId="0" borderId="0" applyFont="0" applyFill="0" applyBorder="0" applyAlignment="0" applyProtection="0">
      <alignment vertical="center"/>
    </xf>
    <xf numFmtId="0" fontId="23" fillId="0" borderId="0" applyNumberFormat="0" applyFill="0" applyBorder="0" applyProtection="0"/>
    <xf numFmtId="166" fontId="21" fillId="0" borderId="0" applyNumberFormat="0">
      <alignment horizontal="left" vertical="top" wrapText="1"/>
    </xf>
    <xf numFmtId="0" fontId="21" fillId="0" borderId="0" applyNumberFormat="0" applyFill="0" applyBorder="0">
      <alignment horizontal="right" vertical="center" wrapText="1"/>
    </xf>
    <xf numFmtId="0" fontId="23" fillId="0" borderId="0" applyNumberFormat="0" applyFont="0" applyFill="0" applyBorder="0">
      <alignment horizontal="left" vertical="center" wrapText="1"/>
    </xf>
    <xf numFmtId="0" fontId="25" fillId="0" borderId="0" applyNumberFormat="0" applyFill="0" applyBorder="0">
      <alignment horizontal="center" vertical="center" wrapText="1"/>
    </xf>
    <xf numFmtId="170" fontId="42" fillId="0" borderId="0" applyFont="0" applyFill="0" applyBorder="0" applyAlignment="0" applyProtection="0"/>
    <xf numFmtId="0" fontId="14" fillId="0" borderId="0"/>
    <xf numFmtId="0" fontId="44" fillId="0" borderId="0" applyNumberFormat="0" applyFill="0" applyBorder="0" applyAlignment="0" applyProtection="0"/>
    <xf numFmtId="0" fontId="13" fillId="0" borderId="0"/>
    <xf numFmtId="0" fontId="47" fillId="0" borderId="0" applyNumberFormat="0" applyFill="0" applyBorder="0" applyAlignment="0" applyProtection="0"/>
    <xf numFmtId="0" fontId="11" fillId="0" borderId="0"/>
    <xf numFmtId="0" fontId="8" fillId="0" borderId="0"/>
  </cellStyleXfs>
  <cellXfs count="241">
    <xf numFmtId="0" fontId="0" fillId="0" borderId="0" xfId="0">
      <alignment horizontal="left" vertical="center" wrapText="1"/>
    </xf>
    <xf numFmtId="0" fontId="18" fillId="0" borderId="0" xfId="0" applyFont="1">
      <alignment horizontal="left" vertical="center" wrapText="1"/>
    </xf>
    <xf numFmtId="0" fontId="19" fillId="0" borderId="0" xfId="0" applyFont="1" applyAlignment="1">
      <alignment vertical="top" wrapText="1"/>
    </xf>
    <xf numFmtId="2" fontId="20" fillId="0" borderId="0" xfId="6">
      <alignment horizontal="left" vertical="center"/>
    </xf>
    <xf numFmtId="167" fontId="0" fillId="0" borderId="0" xfId="18" applyFont="1" applyAlignment="1">
      <alignment horizontal="left" vertical="center" wrapText="1"/>
    </xf>
    <xf numFmtId="0" fontId="23" fillId="0" borderId="0" xfId="1" applyAlignment="1">
      <alignment vertical="center" wrapText="1"/>
    </xf>
    <xf numFmtId="0" fontId="25" fillId="0" borderId="0" xfId="23" applyFill="1">
      <alignment horizontal="center" vertical="center" wrapText="1"/>
    </xf>
    <xf numFmtId="0" fontId="25" fillId="0" borderId="0" xfId="23" quotePrefix="1">
      <alignment horizontal="center" vertical="center" wrapText="1"/>
    </xf>
    <xf numFmtId="0" fontId="23" fillId="0" borderId="0" xfId="11">
      <alignment horizontal="right" vertical="top" indent="2"/>
    </xf>
    <xf numFmtId="2" fontId="20" fillId="0" borderId="0" xfId="6" applyBorder="1">
      <alignment horizontal="left" vertical="center"/>
    </xf>
    <xf numFmtId="0" fontId="23" fillId="0" borderId="0" xfId="1" applyBorder="1" applyAlignment="1">
      <alignment horizontal="left" vertical="top" wrapText="1" indent="2"/>
    </xf>
    <xf numFmtId="0" fontId="29" fillId="0" borderId="0" xfId="0" applyFont="1">
      <alignment horizontal="left" vertical="center" wrapText="1"/>
    </xf>
    <xf numFmtId="0" fontId="29" fillId="0" borderId="0" xfId="0" applyFont="1" applyAlignment="1">
      <alignment horizontal="left" wrapText="1"/>
    </xf>
    <xf numFmtId="0" fontId="29" fillId="0" borderId="0" xfId="11" applyFont="1" applyAlignment="1">
      <alignment horizontal="right"/>
    </xf>
    <xf numFmtId="14" fontId="28" fillId="0" borderId="0" xfId="20" applyNumberFormat="1" applyFont="1" applyAlignment="1">
      <alignment horizontal="left" wrapText="1"/>
    </xf>
    <xf numFmtId="0" fontId="29" fillId="0" borderId="0" xfId="22" applyFont="1">
      <alignment horizontal="left" vertical="center" wrapText="1"/>
    </xf>
    <xf numFmtId="0" fontId="28" fillId="0" borderId="0" xfId="21" applyFont="1" applyAlignment="1">
      <alignment horizontal="center" vertical="center" wrapText="1"/>
    </xf>
    <xf numFmtId="168" fontId="29" fillId="0" borderId="0" xfId="10" applyFont="1" applyAlignment="1">
      <alignment horizontal="center" vertical="center"/>
    </xf>
    <xf numFmtId="0" fontId="29" fillId="0" borderId="0" xfId="19" applyFont="1"/>
    <xf numFmtId="0" fontId="30" fillId="0" borderId="0" xfId="0" applyFont="1">
      <alignment horizontal="left" vertical="center" wrapText="1"/>
    </xf>
    <xf numFmtId="0" fontId="0" fillId="0" borderId="0" xfId="0" applyProtection="1">
      <alignment horizontal="left" vertical="center" wrapText="1"/>
      <protection locked="0"/>
    </xf>
    <xf numFmtId="0" fontId="0" fillId="0" borderId="0" xfId="0" applyAlignment="1">
      <alignment horizontal="left" wrapText="1"/>
    </xf>
    <xf numFmtId="0" fontId="0" fillId="0" borderId="0" xfId="0" applyAlignment="1">
      <alignment vertical="center" wrapText="1"/>
    </xf>
    <xf numFmtId="166" fontId="31" fillId="0" borderId="0" xfId="20" applyNumberFormat="1" applyFont="1">
      <alignment horizontal="left" vertical="top" wrapText="1"/>
    </xf>
    <xf numFmtId="0" fontId="23" fillId="0" borderId="0" xfId="19" applyAlignment="1">
      <alignment vertical="center"/>
    </xf>
    <xf numFmtId="166" fontId="29" fillId="0" borderId="0" xfId="20" applyNumberFormat="1" applyFont="1">
      <alignment horizontal="left" vertical="top" wrapText="1"/>
    </xf>
    <xf numFmtId="14" fontId="28" fillId="0" borderId="0" xfId="20" applyNumberFormat="1" applyFont="1" applyAlignment="1">
      <alignment horizontal="left" vertical="center" wrapText="1"/>
    </xf>
    <xf numFmtId="0" fontId="0" fillId="0" borderId="0" xfId="0" applyAlignment="1">
      <alignment horizontal="left" vertical="center" wrapText="1" indent="1"/>
    </xf>
    <xf numFmtId="167" fontId="0" fillId="0" borderId="0" xfId="18" applyFont="1" applyAlignment="1">
      <alignment horizontal="center" vertical="center" wrapText="1"/>
    </xf>
    <xf numFmtId="0" fontId="21" fillId="0" borderId="0" xfId="0" applyFont="1" applyAlignment="1">
      <alignment horizontal="right" vertical="center" wrapText="1"/>
    </xf>
    <xf numFmtId="0" fontId="29" fillId="0" borderId="0" xfId="0" applyFont="1" applyAlignment="1">
      <alignment horizontal="right" vertical="center" wrapText="1"/>
    </xf>
    <xf numFmtId="0" fontId="37" fillId="0" borderId="0" xfId="21" applyFont="1">
      <alignment horizontal="right" vertical="center" wrapText="1"/>
    </xf>
    <xf numFmtId="168" fontId="36" fillId="0" borderId="0" xfId="9" applyFont="1">
      <alignment horizontal="right" vertical="center"/>
    </xf>
    <xf numFmtId="0" fontId="36" fillId="0" borderId="0" xfId="0" applyFont="1">
      <alignment horizontal="left" vertical="center" wrapText="1"/>
    </xf>
    <xf numFmtId="0" fontId="32" fillId="0" borderId="0" xfId="14" applyFont="1" applyFill="1" applyBorder="1" applyAlignment="1" applyProtection="1">
      <alignment horizontal="right" vertical="center"/>
    </xf>
    <xf numFmtId="0" fontId="34" fillId="0" borderId="0" xfId="11" applyFont="1" applyAlignment="1">
      <alignment vertical="top"/>
    </xf>
    <xf numFmtId="0" fontId="38" fillId="0" borderId="0" xfId="0" applyFont="1" applyAlignment="1">
      <alignment horizontal="left" wrapText="1" indent="2"/>
    </xf>
    <xf numFmtId="2" fontId="26" fillId="0" borderId="4" xfId="6" applyFont="1" applyBorder="1" applyAlignment="1">
      <alignment horizontal="center" vertical="center"/>
    </xf>
    <xf numFmtId="168" fontId="29" fillId="0" borderId="3" xfId="10" applyFont="1" applyBorder="1" applyAlignment="1" applyProtection="1">
      <alignment horizontal="center" vertical="center"/>
    </xf>
    <xf numFmtId="0" fontId="0" fillId="0" borderId="5" xfId="0" applyBorder="1" applyAlignment="1">
      <alignment horizontal="left" wrapText="1" indent="2"/>
    </xf>
    <xf numFmtId="0" fontId="39" fillId="0" borderId="6" xfId="14" applyFont="1" applyFill="1" applyBorder="1" applyAlignment="1" applyProtection="1">
      <alignment horizontal="right" vertical="center"/>
    </xf>
    <xf numFmtId="0" fontId="28" fillId="0" borderId="0" xfId="11" applyFont="1" applyAlignment="1">
      <alignment horizontal="left" indent="1"/>
    </xf>
    <xf numFmtId="14" fontId="29" fillId="0" borderId="0" xfId="11" applyNumberFormat="1" applyFont="1" applyAlignment="1">
      <alignment horizontal="left" vertical="center" indent="1"/>
    </xf>
    <xf numFmtId="0" fontId="0" fillId="0" borderId="5" xfId="0" applyBorder="1" applyAlignment="1">
      <alignment horizontal="left" wrapText="1"/>
    </xf>
    <xf numFmtId="0" fontId="18" fillId="0" borderId="0" xfId="0" applyFont="1" applyAlignment="1">
      <alignment horizontal="left" vertical="center" wrapText="1" indent="1"/>
    </xf>
    <xf numFmtId="0" fontId="0" fillId="0" borderId="0" xfId="0" applyAlignment="1">
      <alignment horizontal="left" vertical="top" wrapText="1" indent="3"/>
    </xf>
    <xf numFmtId="0" fontId="0" fillId="0" borderId="0" xfId="0" applyAlignment="1">
      <alignment vertical="top" wrapText="1"/>
    </xf>
    <xf numFmtId="0" fontId="0" fillId="0" borderId="0" xfId="0" applyAlignment="1">
      <alignment horizontal="center" vertical="center" wrapText="1"/>
    </xf>
    <xf numFmtId="10" fontId="0" fillId="0" borderId="0" xfId="7" applyNumberFormat="1" applyFont="1" applyAlignment="1">
      <alignment horizontal="right" vertical="center"/>
    </xf>
    <xf numFmtId="0" fontId="21" fillId="0" borderId="0" xfId="0" applyFont="1">
      <alignment horizontal="left" vertical="center" wrapText="1"/>
    </xf>
    <xf numFmtId="0" fontId="0" fillId="0" borderId="0" xfId="1" applyFont="1" applyAlignment="1">
      <alignment vertical="center" wrapText="1"/>
    </xf>
    <xf numFmtId="0" fontId="0" fillId="0" borderId="0" xfId="1" applyFont="1" applyAlignment="1">
      <alignment horizontal="left" vertical="center" wrapText="1"/>
    </xf>
    <xf numFmtId="0" fontId="45" fillId="0" borderId="0" xfId="0" applyFont="1">
      <alignment horizontal="left" vertical="center" wrapText="1"/>
    </xf>
    <xf numFmtId="0" fontId="0" fillId="0" borderId="0" xfId="0" applyAlignment="1">
      <alignment horizontal="center" vertical="center"/>
    </xf>
    <xf numFmtId="0" fontId="13" fillId="0" borderId="0" xfId="27"/>
    <xf numFmtId="0" fontId="47" fillId="0" borderId="0" xfId="28" applyAlignment="1">
      <alignment horizontal="left" vertical="center"/>
    </xf>
    <xf numFmtId="10" fontId="0" fillId="0" borderId="0" xfId="0" applyNumberFormat="1" applyAlignment="1">
      <alignment horizontal="center" vertical="center" wrapText="1"/>
    </xf>
    <xf numFmtId="168" fontId="0" fillId="0" borderId="0" xfId="9" applyFont="1" applyFill="1">
      <alignment horizontal="right" vertical="center"/>
    </xf>
    <xf numFmtId="44" fontId="0" fillId="0" borderId="0" xfId="0" applyNumberFormat="1">
      <alignment horizontal="left" vertical="center" wrapText="1"/>
    </xf>
    <xf numFmtId="44" fontId="0" fillId="0" borderId="0" xfId="0" applyNumberFormat="1" applyAlignment="1">
      <alignment horizontal="left" vertical="center" wrapText="1" indent="1"/>
    </xf>
    <xf numFmtId="168" fontId="0" fillId="0" borderId="0" xfId="9" applyFont="1">
      <alignment horizontal="right" vertical="center"/>
    </xf>
    <xf numFmtId="171" fontId="0" fillId="0" borderId="0" xfId="9" applyNumberFormat="1" applyFont="1">
      <alignment horizontal="right" vertical="center"/>
    </xf>
    <xf numFmtId="9" fontId="23" fillId="0" borderId="0" xfId="4" applyFont="1" applyFill="1" applyAlignment="1">
      <alignment horizontal="right" vertical="center"/>
    </xf>
    <xf numFmtId="10" fontId="23" fillId="0" borderId="0" xfId="7" applyNumberFormat="1" applyFont="1" applyFill="1" applyAlignment="1">
      <alignment horizontal="right" vertical="center"/>
    </xf>
    <xf numFmtId="0" fontId="0" fillId="0" borderId="0" xfId="1" applyFont="1" applyAlignment="1">
      <alignment vertical="center"/>
    </xf>
    <xf numFmtId="0" fontId="51" fillId="0" borderId="0" xfId="0" applyFont="1">
      <alignment horizontal="left" vertical="center" wrapText="1"/>
    </xf>
    <xf numFmtId="168" fontId="51" fillId="0" borderId="0" xfId="9" applyFont="1">
      <alignment horizontal="right" vertical="center"/>
    </xf>
    <xf numFmtId="169" fontId="51" fillId="0" borderId="0" xfId="7" applyNumberFormat="1" applyFont="1" applyFill="1" applyAlignment="1">
      <alignment horizontal="left" vertical="center" wrapText="1"/>
    </xf>
    <xf numFmtId="169" fontId="51" fillId="0" borderId="0" xfId="7" applyNumberFormat="1" applyFont="1" applyAlignment="1">
      <alignment horizontal="left" vertical="center" wrapText="1"/>
    </xf>
    <xf numFmtId="169" fontId="23" fillId="0" borderId="0" xfId="7" applyNumberFormat="1" applyFont="1" applyAlignment="1">
      <alignment horizontal="left" vertical="center" wrapText="1" indent="1"/>
    </xf>
    <xf numFmtId="0" fontId="29" fillId="0" borderId="0" xfId="0" applyFont="1" applyAlignment="1">
      <alignment horizontal="left" vertical="center" shrinkToFit="1"/>
    </xf>
    <xf numFmtId="0" fontId="29" fillId="0" borderId="0" xfId="22" applyFont="1" applyFill="1" applyAlignment="1">
      <alignment horizontal="left" vertical="center" shrinkToFit="1"/>
    </xf>
    <xf numFmtId="0" fontId="23" fillId="0" borderId="0" xfId="22" applyFont="1" applyAlignment="1" applyProtection="1">
      <alignment horizontal="left" vertical="center" wrapText="1" indent="1"/>
      <protection locked="0"/>
    </xf>
    <xf numFmtId="0" fontId="22" fillId="0" borderId="0" xfId="29" applyFont="1" applyAlignment="1">
      <alignment horizontal="center" vertical="center"/>
    </xf>
    <xf numFmtId="0" fontId="11" fillId="0" borderId="0" xfId="29"/>
    <xf numFmtId="0" fontId="46" fillId="0" borderId="14" xfId="29" applyFont="1" applyBorder="1"/>
    <xf numFmtId="0" fontId="22" fillId="0" borderId="15" xfId="29" applyFont="1" applyBorder="1"/>
    <xf numFmtId="0" fontId="22" fillId="0" borderId="15" xfId="29" applyFont="1" applyBorder="1" applyAlignment="1">
      <alignment horizontal="center" vertical="center" shrinkToFit="1"/>
    </xf>
    <xf numFmtId="0" fontId="22" fillId="0" borderId="16" xfId="29" applyFont="1" applyBorder="1" applyAlignment="1">
      <alignment horizontal="center" vertical="center" shrinkToFit="1"/>
    </xf>
    <xf numFmtId="0" fontId="52" fillId="0" borderId="0" xfId="29" applyFont="1"/>
    <xf numFmtId="166" fontId="28" fillId="0" borderId="0" xfId="20" applyNumberFormat="1" applyFont="1" applyAlignment="1">
      <alignment horizontal="left" shrinkToFit="1"/>
    </xf>
    <xf numFmtId="0" fontId="46" fillId="0" borderId="0" xfId="27" applyFont="1"/>
    <xf numFmtId="0" fontId="49" fillId="0" borderId="0" xfId="27" applyFont="1"/>
    <xf numFmtId="0" fontId="10" fillId="0" borderId="0" xfId="27" applyFont="1"/>
    <xf numFmtId="0" fontId="50" fillId="0" borderId="0" xfId="27" applyFont="1"/>
    <xf numFmtId="0" fontId="10" fillId="0" borderId="0" xfId="27" applyFont="1" applyAlignment="1">
      <alignment horizontal="right"/>
    </xf>
    <xf numFmtId="0" fontId="53" fillId="0" borderId="0" xfId="28" applyFont="1" applyFill="1" applyAlignment="1">
      <alignment horizontal="left" vertical="center"/>
    </xf>
    <xf numFmtId="0" fontId="46" fillId="0" borderId="19" xfId="27" applyFont="1" applyBorder="1" applyAlignment="1">
      <alignment horizontal="center" vertical="center" textRotation="90"/>
    </xf>
    <xf numFmtId="0" fontId="46" fillId="0" borderId="0" xfId="27" applyFont="1" applyAlignment="1">
      <alignment horizontal="center" vertical="center" textRotation="90"/>
    </xf>
    <xf numFmtId="16" fontId="49" fillId="0" borderId="0" xfId="27" applyNumberFormat="1" applyFont="1" applyAlignment="1">
      <alignment horizontal="center" vertical="center" textRotation="90"/>
    </xf>
    <xf numFmtId="0" fontId="49" fillId="0" borderId="0" xfId="27" applyFont="1" applyAlignment="1">
      <alignment horizontal="center" vertical="center" textRotation="90"/>
    </xf>
    <xf numFmtId="0" fontId="12" fillId="0" borderId="0" xfId="27" applyFont="1" applyAlignment="1">
      <alignment horizontal="center" vertical="center" textRotation="90"/>
    </xf>
    <xf numFmtId="0" fontId="50" fillId="0" borderId="0" xfId="27" applyFont="1" applyAlignment="1">
      <alignment horizontal="center" vertical="center" textRotation="90"/>
    </xf>
    <xf numFmtId="0" fontId="10" fillId="0" borderId="0" xfId="27" applyFont="1" applyAlignment="1">
      <alignment horizontal="center" vertical="center" textRotation="90"/>
    </xf>
    <xf numFmtId="0" fontId="9" fillId="0" borderId="0" xfId="29" applyFont="1"/>
    <xf numFmtId="0" fontId="55" fillId="0" borderId="0" xfId="29" applyFont="1"/>
    <xf numFmtId="0" fontId="56" fillId="0" borderId="0" xfId="29" applyFont="1"/>
    <xf numFmtId="0" fontId="57" fillId="0" borderId="0" xfId="29" applyFont="1"/>
    <xf numFmtId="0" fontId="58" fillId="0" borderId="0" xfId="0" applyFont="1">
      <alignment horizontal="left" vertical="center" wrapText="1"/>
    </xf>
    <xf numFmtId="0" fontId="0" fillId="0" borderId="11" xfId="0" applyBorder="1">
      <alignment horizontal="left" vertical="center" wrapText="1"/>
    </xf>
    <xf numFmtId="169" fontId="51" fillId="0" borderId="11" xfId="7" applyNumberFormat="1" applyFont="1" applyFill="1" applyBorder="1" applyAlignment="1">
      <alignment horizontal="left" vertical="center" wrapText="1"/>
    </xf>
    <xf numFmtId="0" fontId="0" fillId="0" borderId="11" xfId="0" applyBorder="1" applyAlignment="1">
      <alignment horizontal="center" vertical="center" wrapText="1"/>
    </xf>
    <xf numFmtId="168" fontId="0" fillId="0" borderId="11" xfId="9" applyFont="1" applyFill="1" applyBorder="1">
      <alignment horizontal="right" vertical="center"/>
    </xf>
    <xf numFmtId="167" fontId="0" fillId="0" borderId="11" xfId="18" applyFont="1" applyBorder="1" applyAlignment="1">
      <alignment horizontal="center" vertical="center" wrapText="1"/>
    </xf>
    <xf numFmtId="0" fontId="23" fillId="0" borderId="11" xfId="1" applyBorder="1" applyAlignment="1">
      <alignment vertical="center" wrapText="1"/>
    </xf>
    <xf numFmtId="0" fontId="43" fillId="0" borderId="0" xfId="0" applyFont="1">
      <alignment horizontal="left" vertical="center" wrapText="1"/>
    </xf>
    <xf numFmtId="0" fontId="60" fillId="0" borderId="0" xfId="0" applyFont="1">
      <alignment horizontal="left" vertical="center" wrapText="1"/>
    </xf>
    <xf numFmtId="0" fontId="61" fillId="0" borderId="0" xfId="0" applyFont="1">
      <alignment horizontal="left" vertical="center" wrapText="1"/>
    </xf>
    <xf numFmtId="0" fontId="59" fillId="0" borderId="0" xfId="0" applyFont="1">
      <alignment horizontal="left" vertical="center" wrapText="1"/>
    </xf>
    <xf numFmtId="0" fontId="62" fillId="0" borderId="0" xfId="14" applyFont="1" applyFill="1" applyBorder="1" applyAlignment="1" applyProtection="1">
      <alignment horizontal="right" vertical="center"/>
    </xf>
    <xf numFmtId="168" fontId="62" fillId="0" borderId="3" xfId="10" applyFont="1" applyBorder="1" applyAlignment="1" applyProtection="1">
      <alignment horizontal="center" vertical="center"/>
    </xf>
    <xf numFmtId="0" fontId="39" fillId="0" borderId="6" xfId="19" applyFont="1" applyBorder="1"/>
    <xf numFmtId="168" fontId="39" fillId="0" borderId="7" xfId="10" applyFont="1" applyBorder="1" applyAlignment="1" applyProtection="1">
      <alignment horizontal="center" vertical="center"/>
    </xf>
    <xf numFmtId="168" fontId="0" fillId="0" borderId="0" xfId="9" applyFont="1" applyFill="1" applyAlignment="1">
      <alignment horizontal="left" vertical="center"/>
    </xf>
    <xf numFmtId="0" fontId="0" fillId="5" borderId="0" xfId="0" applyFill="1">
      <alignment horizontal="left" vertical="center" wrapText="1"/>
    </xf>
    <xf numFmtId="0" fontId="7" fillId="0" borderId="0" xfId="27" applyFont="1" applyAlignment="1">
      <alignment horizontal="center" vertical="center" textRotation="90"/>
    </xf>
    <xf numFmtId="0" fontId="64" fillId="0" borderId="17" xfId="29" applyFont="1" applyBorder="1" applyAlignment="1">
      <alignment horizontal="center" vertical="center"/>
    </xf>
    <xf numFmtId="0" fontId="64" fillId="0" borderId="8" xfId="29" applyFont="1" applyBorder="1" applyAlignment="1">
      <alignment horizontal="center" vertical="center"/>
    </xf>
    <xf numFmtId="0" fontId="64" fillId="0" borderId="12" xfId="29" applyFont="1" applyBorder="1" applyAlignment="1">
      <alignment horizontal="center" vertical="center"/>
    </xf>
    <xf numFmtId="0" fontId="6" fillId="0" borderId="0" xfId="27" applyFont="1" applyAlignment="1">
      <alignment horizontal="center" vertical="center" textRotation="90" wrapText="1"/>
    </xf>
    <xf numFmtId="0" fontId="5" fillId="0" borderId="0" xfId="29" applyFont="1"/>
    <xf numFmtId="0" fontId="11" fillId="0" borderId="21" xfId="29" applyBorder="1"/>
    <xf numFmtId="0" fontId="22" fillId="0" borderId="0" xfId="29" applyFont="1"/>
    <xf numFmtId="0" fontId="46" fillId="0" borderId="0" xfId="29" applyFont="1"/>
    <xf numFmtId="0" fontId="22" fillId="0" borderId="0" xfId="29" applyFont="1" applyAlignment="1">
      <alignment horizontal="right"/>
    </xf>
    <xf numFmtId="0" fontId="23" fillId="0" borderId="0" xfId="1" applyAlignment="1">
      <alignment horizontal="center" vertical="center"/>
    </xf>
    <xf numFmtId="0" fontId="67" fillId="0" borderId="0" xfId="0" applyFont="1" applyAlignment="1">
      <alignment horizontal="center" vertical="center"/>
    </xf>
    <xf numFmtId="0" fontId="4" fillId="0" borderId="0" xfId="27" applyFont="1" applyAlignment="1">
      <alignment horizontal="center" vertical="center" textRotation="90" wrapText="1"/>
    </xf>
    <xf numFmtId="168" fontId="13" fillId="0" borderId="0" xfId="9" applyFont="1">
      <alignment horizontal="right" vertical="center"/>
    </xf>
    <xf numFmtId="168" fontId="54" fillId="0" borderId="19" xfId="9" applyFont="1" applyBorder="1">
      <alignment horizontal="right" vertical="center"/>
    </xf>
    <xf numFmtId="168" fontId="54" fillId="0" borderId="0" xfId="9" applyFont="1">
      <alignment horizontal="right" vertical="center"/>
    </xf>
    <xf numFmtId="168" fontId="46" fillId="0" borderId="0" xfId="9" applyFont="1">
      <alignment horizontal="right" vertical="center"/>
    </xf>
    <xf numFmtId="0" fontId="13" fillId="3" borderId="0" xfId="27" applyFill="1"/>
    <xf numFmtId="168" fontId="13" fillId="3" borderId="0" xfId="9" applyFont="1" applyFill="1">
      <alignment horizontal="right" vertical="center"/>
    </xf>
    <xf numFmtId="168" fontId="48" fillId="3" borderId="0" xfId="9" applyFont="1" applyFill="1">
      <alignment horizontal="right" vertical="center"/>
    </xf>
    <xf numFmtId="0" fontId="68" fillId="0" borderId="21" xfId="29" applyFont="1" applyBorder="1"/>
    <xf numFmtId="0" fontId="70" fillId="0" borderId="0" xfId="0" applyFont="1">
      <alignment horizontal="left" vertical="center" wrapText="1"/>
    </xf>
    <xf numFmtId="1" fontId="0" fillId="0" borderId="0" xfId="18" applyNumberFormat="1" applyFont="1" applyAlignment="1">
      <alignment horizontal="left" vertical="center" wrapText="1"/>
    </xf>
    <xf numFmtId="0" fontId="71" fillId="0" borderId="0" xfId="0" applyFont="1">
      <alignment horizontal="left" vertical="center" wrapText="1"/>
    </xf>
    <xf numFmtId="169" fontId="71" fillId="0" borderId="0" xfId="7" applyNumberFormat="1" applyFont="1" applyFill="1" applyAlignment="1">
      <alignment horizontal="left" vertical="center" wrapText="1"/>
    </xf>
    <xf numFmtId="0" fontId="71" fillId="0" borderId="0" xfId="0" applyFont="1" applyAlignment="1">
      <alignment horizontal="center" vertical="center" wrapText="1"/>
    </xf>
    <xf numFmtId="168" fontId="71" fillId="0" borderId="0" xfId="9" applyFont="1" applyFill="1">
      <alignment horizontal="right" vertical="center"/>
    </xf>
    <xf numFmtId="167" fontId="71" fillId="0" borderId="0" xfId="18" applyFont="1" applyAlignment="1">
      <alignment horizontal="center" vertical="center" wrapText="1"/>
    </xf>
    <xf numFmtId="0" fontId="71" fillId="0" borderId="0" xfId="1" applyFont="1" applyAlignment="1">
      <alignment vertical="center" wrapText="1"/>
    </xf>
    <xf numFmtId="0" fontId="28" fillId="0" borderId="0" xfId="0" applyFont="1" applyAlignment="1">
      <alignment horizontal="center" vertical="center" wrapText="1"/>
    </xf>
    <xf numFmtId="0" fontId="73" fillId="0" borderId="0" xfId="0" applyFont="1">
      <alignment horizontal="left" vertical="center" wrapText="1"/>
    </xf>
    <xf numFmtId="0" fontId="34" fillId="0" borderId="0" xfId="11" applyFont="1" applyAlignment="1">
      <alignment horizontal="left" vertical="center" indent="1"/>
    </xf>
    <xf numFmtId="1" fontId="29" fillId="0" borderId="0" xfId="17" applyFont="1" applyAlignment="1">
      <alignment horizontal="center" vertical="center"/>
    </xf>
    <xf numFmtId="8" fontId="0" fillId="0" borderId="0" xfId="0" applyNumberFormat="1">
      <alignment horizontal="left" vertical="center" wrapText="1"/>
    </xf>
    <xf numFmtId="0" fontId="52" fillId="0" borderId="0" xfId="29" applyFont="1" applyAlignment="1">
      <alignment vertical="center" wrapText="1"/>
    </xf>
    <xf numFmtId="0" fontId="36" fillId="0" borderId="0" xfId="0" applyFont="1" applyAlignment="1">
      <alignment horizontal="center" vertical="center" wrapText="1" shrinkToFit="1"/>
    </xf>
    <xf numFmtId="49" fontId="29" fillId="0" borderId="23" xfId="0" applyNumberFormat="1" applyFont="1" applyBorder="1" applyAlignment="1">
      <alignment horizontal="center" vertical="center" wrapText="1"/>
    </xf>
    <xf numFmtId="49" fontId="29" fillId="0" borderId="23" xfId="0" applyNumberFormat="1" applyFont="1" applyBorder="1">
      <alignment horizontal="left" vertical="center" wrapText="1"/>
    </xf>
    <xf numFmtId="0" fontId="34" fillId="0" borderId="0" xfId="11" applyFont="1" applyAlignment="1">
      <alignment vertical="center"/>
    </xf>
    <xf numFmtId="49" fontId="29" fillId="0" borderId="0" xfId="0" applyNumberFormat="1" applyFont="1" applyAlignment="1">
      <alignment horizontal="center" vertical="center" wrapText="1"/>
    </xf>
    <xf numFmtId="49" fontId="29" fillId="0" borderId="0" xfId="0" applyNumberFormat="1" applyFont="1">
      <alignment horizontal="left" vertical="center" wrapText="1"/>
    </xf>
    <xf numFmtId="0" fontId="76" fillId="0" borderId="0" xfId="0" applyFont="1" applyAlignment="1">
      <alignment horizontal="center" vertical="center" wrapText="1" shrinkToFit="1"/>
    </xf>
    <xf numFmtId="169" fontId="51" fillId="0" borderId="0" xfId="9" applyNumberFormat="1" applyFont="1">
      <alignment horizontal="right" vertical="center"/>
    </xf>
    <xf numFmtId="169" fontId="63" fillId="0" borderId="0" xfId="9" applyNumberFormat="1" applyFont="1">
      <alignment horizontal="right" vertical="center"/>
    </xf>
    <xf numFmtId="169" fontId="51" fillId="0" borderId="0" xfId="9" applyNumberFormat="1" applyFont="1" applyFill="1">
      <alignment horizontal="right" vertical="center"/>
    </xf>
    <xf numFmtId="0" fontId="0" fillId="0" borderId="0" xfId="0" applyAlignment="1">
      <alignment horizontal="center" wrapText="1"/>
    </xf>
    <xf numFmtId="0" fontId="0" fillId="0" borderId="10" xfId="0" applyBorder="1" applyAlignment="1">
      <alignment horizontal="center" wrapText="1"/>
    </xf>
    <xf numFmtId="0" fontId="0" fillId="0" borderId="10" xfId="0" applyBorder="1" applyAlignment="1">
      <alignment horizontal="left" wrapText="1"/>
    </xf>
    <xf numFmtId="0" fontId="0" fillId="0" borderId="0" xfId="0" applyAlignment="1" applyProtection="1">
      <alignment horizontal="center"/>
      <protection locked="0"/>
    </xf>
    <xf numFmtId="0" fontId="0" fillId="0" borderId="0" xfId="1" applyFont="1" applyFill="1" applyBorder="1" applyAlignment="1">
      <alignment horizontal="left" wrapText="1"/>
    </xf>
    <xf numFmtId="0" fontId="0" fillId="0" borderId="0" xfId="0" applyAlignment="1">
      <alignment horizontal="center"/>
    </xf>
    <xf numFmtId="168" fontId="13" fillId="3" borderId="0" xfId="27" applyNumberFormat="1" applyFill="1"/>
    <xf numFmtId="168" fontId="48" fillId="0" borderId="0" xfId="9" applyFont="1">
      <alignment horizontal="right" vertical="center"/>
    </xf>
    <xf numFmtId="168" fontId="48" fillId="0" borderId="0" xfId="9" applyFont="1" applyFill="1">
      <alignment horizontal="right" vertical="center"/>
    </xf>
    <xf numFmtId="8" fontId="13" fillId="0" borderId="0" xfId="27" applyNumberFormat="1"/>
    <xf numFmtId="8" fontId="13" fillId="3" borderId="0" xfId="27" applyNumberFormat="1" applyFill="1"/>
    <xf numFmtId="44" fontId="13" fillId="0" borderId="0" xfId="27" applyNumberFormat="1"/>
    <xf numFmtId="44" fontId="13" fillId="3" borderId="0" xfId="27" applyNumberFormat="1" applyFill="1"/>
    <xf numFmtId="0" fontId="12" fillId="6" borderId="0" xfId="27" applyFont="1" applyFill="1" applyAlignment="1">
      <alignment textRotation="90"/>
    </xf>
    <xf numFmtId="169" fontId="48" fillId="6" borderId="0" xfId="27" applyNumberFormat="1" applyFont="1" applyFill="1"/>
    <xf numFmtId="0" fontId="13" fillId="6" borderId="0" xfId="27" applyFill="1"/>
    <xf numFmtId="0" fontId="13" fillId="4" borderId="20" xfId="27" applyFill="1" applyBorder="1"/>
    <xf numFmtId="169" fontId="13" fillId="4" borderId="20" xfId="27" applyNumberFormat="1" applyFill="1" applyBorder="1"/>
    <xf numFmtId="0" fontId="22" fillId="4" borderId="20" xfId="27" applyFont="1" applyFill="1" applyBorder="1" applyAlignment="1">
      <alignment horizontal="right"/>
    </xf>
    <xf numFmtId="0" fontId="1" fillId="0" borderId="24" xfId="27" applyFont="1" applyBorder="1" applyAlignment="1">
      <alignment horizontal="center" vertical="center" textRotation="90"/>
    </xf>
    <xf numFmtId="0" fontId="10" fillId="0" borderId="24" xfId="27" applyFont="1" applyBorder="1" applyAlignment="1">
      <alignment horizontal="right"/>
    </xf>
    <xf numFmtId="0" fontId="13" fillId="3" borderId="24" xfId="27" applyFill="1" applyBorder="1"/>
    <xf numFmtId="0" fontId="13" fillId="0" borderId="24" xfId="27" applyBorder="1"/>
    <xf numFmtId="168" fontId="13" fillId="0" borderId="0" xfId="27" applyNumberFormat="1"/>
    <xf numFmtId="0" fontId="53" fillId="0" borderId="0" xfId="28" applyFont="1" applyBorder="1" applyAlignment="1">
      <alignment horizontal="left" vertical="center"/>
    </xf>
    <xf numFmtId="0" fontId="77" fillId="0" borderId="0" xfId="28" applyFont="1" applyAlignment="1">
      <alignment horizontal="center" vertical="center" textRotation="90"/>
    </xf>
    <xf numFmtId="0" fontId="53" fillId="0" borderId="27" xfId="28" applyFont="1" applyBorder="1" applyAlignment="1">
      <alignment horizontal="left" vertical="center"/>
    </xf>
    <xf numFmtId="0" fontId="53" fillId="0" borderId="28" xfId="28" applyFont="1" applyBorder="1" applyAlignment="1">
      <alignment horizontal="left" vertical="center"/>
    </xf>
    <xf numFmtId="0" fontId="13" fillId="4" borderId="25" xfId="27" applyFill="1" applyBorder="1"/>
    <xf numFmtId="0" fontId="13" fillId="4" borderId="26" xfId="27" applyFill="1" applyBorder="1"/>
    <xf numFmtId="0" fontId="13" fillId="3" borderId="29" xfId="27" applyFill="1" applyBorder="1"/>
    <xf numFmtId="0" fontId="13" fillId="0" borderId="28" xfId="27" applyBorder="1"/>
    <xf numFmtId="0" fontId="13" fillId="3" borderId="28" xfId="27" applyFill="1" applyBorder="1"/>
    <xf numFmtId="0" fontId="2" fillId="3" borderId="28" xfId="27" applyFont="1" applyFill="1" applyBorder="1"/>
    <xf numFmtId="0" fontId="3" fillId="0" borderId="28" xfId="27" applyFont="1" applyBorder="1"/>
    <xf numFmtId="0" fontId="3" fillId="3" borderId="28" xfId="27" applyFont="1" applyFill="1" applyBorder="1"/>
    <xf numFmtId="0" fontId="53" fillId="0" borderId="0" xfId="28" applyFont="1" applyFill="1" applyBorder="1" applyAlignment="1">
      <alignment horizontal="left" vertical="center"/>
    </xf>
    <xf numFmtId="0" fontId="53" fillId="0" borderId="30" xfId="28" applyFont="1" applyBorder="1" applyAlignment="1">
      <alignment horizontal="left" vertical="center"/>
    </xf>
    <xf numFmtId="0" fontId="53" fillId="0" borderId="31" xfId="28" applyFont="1" applyBorder="1" applyAlignment="1">
      <alignment horizontal="left" vertical="center"/>
    </xf>
    <xf numFmtId="0" fontId="13" fillId="3" borderId="32" xfId="27" applyFill="1" applyBorder="1"/>
    <xf numFmtId="0" fontId="2" fillId="3" borderId="0" xfId="27" applyFont="1" applyFill="1"/>
    <xf numFmtId="0" fontId="3" fillId="0" borderId="0" xfId="27" applyFont="1"/>
    <xf numFmtId="0" fontId="3" fillId="3" borderId="0" xfId="27" applyFont="1" applyFill="1"/>
    <xf numFmtId="0" fontId="22" fillId="0" borderId="0" xfId="29" applyFont="1" applyAlignment="1">
      <alignment horizontal="center" vertical="center" shrinkToFit="1"/>
    </xf>
    <xf numFmtId="0" fontId="64" fillId="0" borderId="0" xfId="29" applyFont="1" applyAlignment="1">
      <alignment horizontal="center" vertical="center"/>
    </xf>
    <xf numFmtId="0" fontId="29" fillId="0" borderId="0" xfId="22" applyFont="1" applyAlignment="1">
      <alignment horizontal="left" vertical="center" wrapText="1" indent="1"/>
    </xf>
    <xf numFmtId="169" fontId="51" fillId="0" borderId="0" xfId="7" applyNumberFormat="1" applyFont="1" applyFill="1" applyAlignment="1">
      <alignment horizontal="right" vertical="center"/>
    </xf>
    <xf numFmtId="0" fontId="0" fillId="0" borderId="0" xfId="0" applyAlignment="1">
      <alignment horizontal="center" vertical="center" wrapText="1"/>
    </xf>
    <xf numFmtId="0" fontId="74" fillId="0" borderId="0" xfId="29" applyFont="1" applyAlignment="1">
      <alignment horizontal="center" vertical="center" wrapText="1"/>
    </xf>
    <xf numFmtId="0" fontId="22" fillId="0" borderId="11" xfId="29" applyFont="1" applyBorder="1" applyAlignment="1">
      <alignment horizontal="center" vertical="center"/>
    </xf>
    <xf numFmtId="0" fontId="22" fillId="0" borderId="11" xfId="29" applyFont="1" applyBorder="1" applyAlignment="1">
      <alignment horizontal="center" vertical="center" shrinkToFit="1"/>
    </xf>
    <xf numFmtId="0" fontId="52" fillId="0" borderId="18" xfId="29" applyFont="1" applyBorder="1" applyAlignment="1">
      <alignment horizontal="center" vertical="center"/>
    </xf>
    <xf numFmtId="0" fontId="74" fillId="0" borderId="0" xfId="29" applyFont="1" applyAlignment="1">
      <alignment horizontal="center" vertical="center" wrapText="1" shrinkToFit="1"/>
    </xf>
    <xf numFmtId="172" fontId="65" fillId="0" borderId="0" xfId="29" applyNumberFormat="1" applyFont="1" applyAlignment="1">
      <alignment horizontal="center"/>
    </xf>
    <xf numFmtId="0" fontId="55" fillId="0" borderId="0" xfId="29" applyFont="1"/>
    <xf numFmtId="0" fontId="69" fillId="0" borderId="22" xfId="29" applyFont="1" applyBorder="1" applyAlignment="1">
      <alignment horizontal="center" vertical="center"/>
    </xf>
    <xf numFmtId="0" fontId="22" fillId="0" borderId="0" xfId="29" applyFont="1" applyAlignment="1">
      <alignment horizontal="center" vertical="center"/>
    </xf>
    <xf numFmtId="0" fontId="22" fillId="0" borderId="0" xfId="29" applyFont="1" applyAlignment="1">
      <alignment horizontal="center" vertical="center" shrinkToFit="1"/>
    </xf>
    <xf numFmtId="0" fontId="52" fillId="0" borderId="0" xfId="29" applyFont="1" applyAlignment="1">
      <alignment horizontal="center" vertical="center"/>
    </xf>
    <xf numFmtId="0" fontId="21" fillId="0" borderId="4" xfId="0" applyFont="1" applyBorder="1" applyAlignment="1">
      <alignment horizontal="right" vertical="center" wrapText="1" indent="1"/>
    </xf>
    <xf numFmtId="0" fontId="29" fillId="0" borderId="0" xfId="0" applyFont="1" applyAlignment="1">
      <alignment horizontal="right" vertical="center" wrapText="1"/>
    </xf>
    <xf numFmtId="0" fontId="33" fillId="0" borderId="0" xfId="11" applyFont="1" applyAlignment="1">
      <alignment horizontal="center" vertical="top"/>
    </xf>
    <xf numFmtId="0" fontId="0" fillId="0" borderId="0" xfId="0">
      <alignment horizontal="left" vertical="center" wrapText="1"/>
    </xf>
    <xf numFmtId="0" fontId="0" fillId="0" borderId="5" xfId="19" applyFont="1" applyBorder="1" applyAlignment="1">
      <alignment horizontal="center" vertical="center" wrapText="1"/>
    </xf>
    <xf numFmtId="0" fontId="23" fillId="0" borderId="5" xfId="19" applyBorder="1" applyAlignment="1">
      <alignment horizontal="center" vertical="center" wrapText="1"/>
    </xf>
    <xf numFmtId="0" fontId="23" fillId="0" borderId="9" xfId="19" applyBorder="1" applyAlignment="1">
      <alignment horizontal="center" vertical="center" wrapText="1"/>
    </xf>
    <xf numFmtId="0" fontId="0" fillId="0" borderId="5" xfId="0" applyBorder="1" applyAlignment="1">
      <alignment horizontal="left" wrapText="1"/>
    </xf>
    <xf numFmtId="0" fontId="23" fillId="0" borderId="0" xfId="1" applyAlignment="1">
      <alignment horizontal="left" vertical="center" wrapText="1"/>
    </xf>
    <xf numFmtId="0" fontId="40" fillId="0" borderId="0" xfId="0" applyFont="1" applyAlignment="1">
      <alignment horizontal="left" wrapText="1" indent="1"/>
    </xf>
    <xf numFmtId="0" fontId="21" fillId="0" borderId="0" xfId="0" applyFont="1" applyAlignment="1">
      <alignment horizontal="left" wrapText="1"/>
    </xf>
    <xf numFmtId="0" fontId="29" fillId="0" borderId="0" xfId="0" applyFont="1" applyAlignment="1">
      <alignment horizontal="right" wrapText="1"/>
    </xf>
    <xf numFmtId="0" fontId="0" fillId="0" borderId="13" xfId="19" applyFont="1" applyBorder="1" applyAlignment="1">
      <alignment horizontal="center" vertical="center" wrapText="1"/>
    </xf>
    <xf numFmtId="0" fontId="23" fillId="0" borderId="13" xfId="19" applyBorder="1" applyAlignment="1">
      <alignment horizontal="center" vertical="center" wrapText="1"/>
    </xf>
    <xf numFmtId="0" fontId="72" fillId="0" borderId="0" xfId="0" applyFont="1" applyAlignment="1">
      <alignment horizontal="center" wrapText="1"/>
    </xf>
    <xf numFmtId="0" fontId="0" fillId="0" borderId="0" xfId="0" applyAlignment="1">
      <alignment horizontal="center" vertical="center" textRotation="90" wrapText="1"/>
    </xf>
    <xf numFmtId="2" fontId="20" fillId="0" borderId="0" xfId="6" applyAlignment="1">
      <alignment horizontal="center" vertical="center"/>
    </xf>
    <xf numFmtId="0" fontId="66" fillId="0" borderId="0" xfId="0" applyFont="1" applyAlignment="1">
      <alignment horizontal="center" vertical="center" wrapText="1"/>
    </xf>
    <xf numFmtId="0" fontId="0" fillId="0" borderId="0" xfId="0" applyBorder="1">
      <alignment horizontal="left" vertical="center" wrapText="1"/>
    </xf>
    <xf numFmtId="0" fontId="18" fillId="0" borderId="0" xfId="0" applyFont="1" applyBorder="1">
      <alignment horizontal="left" vertical="center" wrapText="1"/>
    </xf>
    <xf numFmtId="2" fontId="0" fillId="0" borderId="0" xfId="0" applyNumberFormat="1" applyBorder="1">
      <alignment horizontal="left" vertical="center" wrapText="1"/>
    </xf>
    <xf numFmtId="168" fontId="0" fillId="0" borderId="0" xfId="0" applyNumberFormat="1" applyBorder="1" applyAlignment="1">
      <alignment horizontal="center" vertical="center" wrapText="1"/>
    </xf>
  </cellXfs>
  <cellStyles count="31">
    <cellStyle name="Besuchter Hyperlink" xfId="5" builtinId="9" customBuiltin="1"/>
    <cellStyle name="Datum" xfId="16" xr:uid="{00000000-0005-0000-0000-000001000000}"/>
    <cellStyle name="Dezimal [0]" xfId="8" builtinId="6" customBuiltin="1"/>
    <cellStyle name="Ergebnis" xfId="14" builtinId="25" customBuiltin="1"/>
    <cellStyle name="Erklärender Text" xfId="19" builtinId="53" customBuiltin="1"/>
    <cellStyle name="Euro" xfId="24" xr:uid="{D3653D12-19DD-445D-A0B9-34967C66A6CB}"/>
    <cellStyle name="Komma" xfId="7" builtinId="3" customBuiltin="1"/>
    <cellStyle name="Link" xfId="1" builtinId="8" customBuiltin="1"/>
    <cellStyle name="Link 2" xfId="26" xr:uid="{1899876E-42B0-4D99-AF3D-A524924813E1}"/>
    <cellStyle name="Menge" xfId="17" xr:uid="{00000000-0005-0000-0000-000007000000}"/>
    <cellStyle name="Notiz" xfId="13" builtinId="10" customBuiltin="1"/>
    <cellStyle name="Prozent" xfId="4" builtinId="5" customBuiltin="1"/>
    <cellStyle name="Rechnungsdetails" xfId="20" xr:uid="{00000000-0005-0000-0000-00000A000000}"/>
    <cellStyle name="Rechter Rand" xfId="15" xr:uid="{00000000-0005-0000-0000-00000B000000}"/>
    <cellStyle name="Standard" xfId="0" builtinId="0" customBuiltin="1"/>
    <cellStyle name="Standard 2" xfId="25" xr:uid="{815D12B6-068C-4664-BEA3-9A72D76CB8E5}"/>
    <cellStyle name="Standard 3" xfId="27" xr:uid="{9B1828FE-D85E-440E-8788-02AA936973EE}"/>
    <cellStyle name="Standard 4" xfId="29" xr:uid="{5B283DBF-EF2D-4C8C-8E20-5737C5102CA8}"/>
    <cellStyle name="Standard 5" xfId="30" xr:uid="{BFE5DBB4-B1D3-4AAB-91B9-11687384385C}"/>
    <cellStyle name="Tabellendetails linksbündig" xfId="22" xr:uid="{00000000-0005-0000-0000-00000D000000}"/>
    <cellStyle name="Tabellenüberschrift rechtsbündig" xfId="21" xr:uid="{00000000-0005-0000-0000-00000E000000}"/>
    <cellStyle name="Telefon" xfId="18" xr:uid="{00000000-0005-0000-0000-00000F000000}"/>
    <cellStyle name="Überschrift" xfId="6" builtinId="15" customBuiltin="1"/>
    <cellStyle name="Überschrift 1" xfId="2" builtinId="16" customBuiltin="1"/>
    <cellStyle name="Überschrift 2" xfId="3" builtinId="17" customBuiltin="1"/>
    <cellStyle name="Überschrift 3" xfId="11" builtinId="18" customBuiltin="1"/>
    <cellStyle name="Überschrift 4" xfId="12" builtinId="19" customBuiltin="1"/>
    <cellStyle name="Überschrift 5" xfId="28" xr:uid="{1A670446-FF26-4D05-A71C-3C1B6DCA1160}"/>
    <cellStyle name="Währung" xfId="9" builtinId="4" customBuiltin="1"/>
    <cellStyle name="Währung [0]" xfId="10" builtinId="7" customBuiltin="1"/>
    <cellStyle name="znavigation-Zelle" xfId="23" xr:uid="{00000000-0005-0000-0000-000017000000}"/>
  </cellStyles>
  <dxfs count="7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Calibri"/>
        <family val="2"/>
        <scheme val="minor"/>
      </font>
      <numFmt numFmtId="34" formatCode="_-* #,##0.00\ &quot;€&quot;_-;\-* #,##0.00\ &quot;€&quot;_-;_-* &quot;-&quot;??\ &quot;€&quot;_-;_-@_-"/>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numFmt numFmtId="34" formatCode="_-* #,##0.00\ &quot;€&quot;_-;\-* #,##0.00\ &quot;€&quot;_-;_-* &quot;-&quot;??\ &quot;€&quot;_-;_-@_-"/>
      <alignmen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alignment horizontal="right"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right" vertical="bottom" textRotation="0" wrapText="0" indent="0" justifyLastLine="0" shrinkToFit="0" readingOrder="0"/>
      <border diagonalUp="0" diagonalDown="0" outline="0">
        <left style="thin">
          <color theme="3" tint="0.79998168889431442"/>
        </left>
        <right style="thin">
          <color theme="3" tint="0.79998168889431442"/>
        </right>
        <top/>
        <bottom/>
      </border>
      <protection locked="1" hidden="0"/>
    </dxf>
    <dxf>
      <font>
        <b val="0"/>
        <i val="0"/>
        <strike val="0"/>
        <condense val="0"/>
        <extend val="0"/>
        <outline val="0"/>
        <shadow val="0"/>
        <u val="none"/>
        <vertAlign val="baseline"/>
        <sz val="11"/>
        <color theme="1"/>
        <name val="Calibri"/>
        <family val="2"/>
        <scheme val="minor"/>
      </font>
      <alignment horizontal="right" vertical="bottom" textRotation="0" wrapText="0" indent="0" justifyLastLine="0" shrinkToFit="0" readingOrder="0"/>
      <border diagonalUp="0" diagonalDown="0">
        <left style="thin">
          <color theme="3" tint="0.79998168889431442"/>
        </left>
        <right style="thin">
          <color theme="3" tint="0.79998168889431442"/>
        </right>
        <top/>
        <bottom/>
        <vertical/>
        <horizontal/>
      </border>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8"/>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8"/>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8"/>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8"/>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8"/>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8"/>
        <name val="Calibri"/>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8"/>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8"/>
        <name val="Calibri"/>
        <family val="2"/>
        <scheme val="minor"/>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8"/>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8"/>
        <name val="Calibri"/>
        <family val="2"/>
        <scheme val="minor"/>
      </font>
      <alignment horizontal="general" vertical="bottom" textRotation="0" wrapText="0" indent="0" justifyLastLine="0" shrinkToFit="0" readingOrder="0"/>
    </dxf>
    <dxf>
      <font>
        <b val="0"/>
        <i/>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val="0"/>
        <i/>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val="0"/>
        <i val="0"/>
        <strike val="0"/>
        <condense val="0"/>
        <extend val="0"/>
        <outline val="0"/>
        <shadow val="0"/>
        <u val="none"/>
        <vertAlign val="baseline"/>
        <sz val="11"/>
        <color theme="1"/>
        <name val="Calibri"/>
        <family val="2"/>
        <scheme val="minor"/>
      </font>
      <alignment horizontal="general" vertical="bottom" textRotation="0" wrapText="0" indent="0" justifyLastLine="0" shrinkToFit="0" readingOrder="0"/>
    </dxf>
    <dxf>
      <font>
        <b/>
        <i/>
        <strike val="0"/>
        <condense val="0"/>
        <extend val="0"/>
        <outline val="0"/>
        <shadow val="0"/>
        <u val="none"/>
        <vertAlign val="baseline"/>
        <sz val="11"/>
        <color theme="0" tint="-0.499984740745262"/>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i/>
        <strike val="0"/>
        <condense val="0"/>
        <extend val="0"/>
        <outline val="0"/>
        <shadow val="0"/>
        <u val="none"/>
        <vertAlign val="baseline"/>
        <sz val="11"/>
        <color theme="0" tint="-0.499984740745262"/>
        <name val="Calibri"/>
        <family val="2"/>
        <scheme val="minor"/>
      </font>
      <alignment horizontal="general" vertical="bottom" textRotation="0" wrapText="0" indent="0" justifyLastLine="0" shrinkToFit="0" readingOrder="0"/>
    </dxf>
    <dxf>
      <font>
        <b/>
        <i/>
        <strike val="0"/>
        <condense val="0"/>
        <extend val="0"/>
        <outline val="0"/>
        <shadow val="0"/>
        <u val="none"/>
        <vertAlign val="baseline"/>
        <sz val="11"/>
        <color theme="0" tint="-0.499984740745262"/>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i/>
        <strike val="0"/>
        <condense val="0"/>
        <extend val="0"/>
        <outline val="0"/>
        <shadow val="0"/>
        <u val="none"/>
        <vertAlign val="baseline"/>
        <sz val="11"/>
        <color theme="0" tint="-0.499984740745262"/>
        <name val="Calibri"/>
        <family val="2"/>
        <scheme val="minor"/>
      </font>
      <alignment horizontal="general" vertical="bottom" textRotation="0" wrapText="0" indent="0" justifyLastLine="0" shrinkToFit="0" readingOrder="0"/>
    </dxf>
    <dxf>
      <font>
        <b/>
        <i/>
        <strike val="0"/>
        <condense val="0"/>
        <extend val="0"/>
        <outline val="0"/>
        <shadow val="0"/>
        <u val="none"/>
        <vertAlign val="baseline"/>
        <sz val="11"/>
        <color theme="0" tint="-0.499984740745262"/>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i/>
        <strike val="0"/>
        <condense val="0"/>
        <extend val="0"/>
        <outline val="0"/>
        <shadow val="0"/>
        <u val="none"/>
        <vertAlign val="baseline"/>
        <sz val="11"/>
        <color theme="0" tint="-0.499984740745262"/>
        <name val="Calibri"/>
        <family val="2"/>
        <scheme val="minor"/>
      </font>
      <alignment horizontal="general" vertical="bottom" textRotation="0" wrapText="0" indent="0" justifyLastLine="0" shrinkToFit="0" readingOrder="0"/>
    </dxf>
    <dxf>
      <font>
        <b/>
        <i/>
        <strike val="0"/>
        <condense val="0"/>
        <extend val="0"/>
        <outline val="0"/>
        <shadow val="0"/>
        <u val="none"/>
        <vertAlign val="baseline"/>
        <sz val="11"/>
        <color theme="0" tint="-0.499984740745262"/>
        <name val="Calibri"/>
        <family val="2"/>
        <scheme val="minor"/>
      </font>
      <numFmt numFmtId="0" formatCode="General"/>
      <fill>
        <patternFill patternType="none">
          <fgColor indexed="64"/>
          <bgColor indexed="65"/>
        </patternFill>
      </fill>
      <alignment horizontal="general" vertical="bottom" textRotation="0" wrapText="0" indent="0" justifyLastLine="0" shrinkToFit="0" readingOrder="0"/>
      <border diagonalUp="0" diagonalDown="0" outline="0">
        <left/>
        <right/>
        <top/>
        <bottom/>
      </border>
      <protection locked="1" hidden="0"/>
    </dxf>
    <dxf>
      <font>
        <b/>
        <i/>
        <strike val="0"/>
        <condense val="0"/>
        <extend val="0"/>
        <outline val="0"/>
        <shadow val="0"/>
        <u val="none"/>
        <vertAlign val="baseline"/>
        <sz val="11"/>
        <color theme="0" tint="-0.499984740745262"/>
        <name val="Calibri"/>
        <family val="2"/>
        <scheme val="minor"/>
      </font>
      <numFmt numFmtId="0" formatCode="General"/>
      <alignment horizontal="general" vertical="bottom" textRotation="0" wrapText="0" indent="0" justifyLastLine="0" shrinkToFit="0" readingOrder="0"/>
    </dxf>
    <dxf>
      <font>
        <b val="0"/>
        <i/>
        <strike val="0"/>
        <condense val="0"/>
        <extend val="0"/>
        <outline val="0"/>
        <shadow val="0"/>
        <u val="none"/>
        <vertAlign val="baseline"/>
        <sz val="11"/>
        <color theme="1"/>
        <name val="Calibri"/>
        <family val="2"/>
        <scheme val="minor"/>
      </font>
      <numFmt numFmtId="0" formatCode="General"/>
      <alignment horizontal="right" vertical="center" textRotation="0" wrapText="0" indent="0" justifyLastLine="0" shrinkToFit="0" readingOrder="0"/>
    </dxf>
    <dxf>
      <font>
        <b val="0"/>
        <i/>
        <strike val="0"/>
        <condense val="0"/>
        <extend val="0"/>
        <outline val="0"/>
        <shadow val="0"/>
        <u val="none"/>
        <vertAlign val="baseline"/>
        <sz val="11"/>
        <color theme="1"/>
        <name val="Calibri"/>
        <family val="2"/>
        <scheme val="minor"/>
      </font>
    </dxf>
    <dxf>
      <font>
        <b val="0"/>
        <i/>
        <strike val="0"/>
        <condense val="0"/>
        <extend val="0"/>
        <outline val="0"/>
        <shadow val="0"/>
        <u val="none"/>
        <vertAlign val="baseline"/>
        <sz val="11"/>
        <color theme="0" tint="-0.499984740745262"/>
        <name val="Calibri"/>
        <family val="2"/>
        <scheme val="minor"/>
      </font>
      <numFmt numFmtId="0" formatCode="General"/>
      <alignment horizontal="right" vertical="center" textRotation="0" wrapText="0" indent="0" justifyLastLine="0" shrinkToFit="0" readingOrder="0"/>
    </dxf>
    <dxf>
      <font>
        <b val="0"/>
        <i/>
        <strike val="0"/>
        <condense val="0"/>
        <extend val="0"/>
        <outline val="0"/>
        <shadow val="0"/>
        <u val="none"/>
        <vertAlign val="baseline"/>
        <sz val="11"/>
        <color theme="0" tint="-0.499984740745262"/>
        <name val="Calibri"/>
        <family val="2"/>
        <scheme val="minor"/>
      </font>
    </dxf>
    <dxf>
      <font>
        <b val="0"/>
        <i val="0"/>
        <strike val="0"/>
        <condense val="0"/>
        <extend val="0"/>
        <outline val="0"/>
        <shadow val="0"/>
        <u val="none"/>
        <vertAlign val="baseline"/>
        <sz val="12"/>
        <color theme="1"/>
        <name val="Calibri"/>
        <family val="2"/>
        <scheme val="major"/>
      </font>
      <alignment horizontal="left" vertical="center" textRotation="0" wrapText="0" indent="0" justifyLastLine="0" shrinkToFit="0" readingOrder="0"/>
    </dxf>
    <dxf>
      <font>
        <b val="0"/>
        <i val="0"/>
        <strike val="0"/>
        <condense val="0"/>
        <extend val="0"/>
        <outline val="0"/>
        <shadow val="0"/>
        <u val="none"/>
        <vertAlign val="baseline"/>
        <sz val="12"/>
        <color theme="1"/>
        <name val="Calibri"/>
        <family val="2"/>
        <scheme val="major"/>
      </font>
      <alignment horizontal="left" vertical="center" textRotation="0" wrapText="0" indent="0" justifyLastLine="0" shrinkToFit="0" readingOrder="0"/>
    </dxf>
    <dxf>
      <font>
        <b val="0"/>
        <i val="0"/>
        <strike val="0"/>
        <condense val="0"/>
        <extend val="0"/>
        <outline val="0"/>
        <shadow val="0"/>
        <u val="none"/>
        <vertAlign val="baseline"/>
        <sz val="12"/>
        <color theme="1"/>
        <name val="Calibri"/>
        <family val="2"/>
        <scheme val="major"/>
      </font>
      <alignment horizontal="left" vertical="center" textRotation="0" wrapText="0" indent="0" justifyLastLine="0" shrinkToFit="0" readingOrder="0"/>
      <border diagonalUp="0" diagonalDown="0" outline="0">
        <left/>
        <right style="thick">
          <color theme="6" tint="0.79998168889431442"/>
        </right>
        <top/>
        <bottom/>
      </border>
    </dxf>
    <dxf>
      <font>
        <strike val="0"/>
        <outline val="0"/>
        <shadow val="0"/>
        <u val="none"/>
        <vertAlign val="baseline"/>
        <sz val="12"/>
        <color theme="1"/>
        <name val="Calibri"/>
        <family val="2"/>
        <scheme val="major"/>
      </font>
      <alignment horizontal="left"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center" vertical="center" textRotation="0" indent="0" justifyLastLine="0" shrinkToFit="0" readingOrder="0"/>
    </dxf>
    <dxf>
      <numFmt numFmtId="0" formatCode="General"/>
      <alignment horizontal="center" vertical="center" textRotation="0" indent="0" justifyLastLine="0" shrinkToFit="0" readingOrder="0"/>
    </dxf>
    <dxf>
      <font>
        <strike val="0"/>
        <outline val="0"/>
        <shadow val="0"/>
        <u val="none"/>
        <vertAlign val="baseline"/>
        <sz val="11"/>
        <color theme="0" tint="-0.249977111117893"/>
        <name val="Calibri"/>
        <family val="2"/>
        <scheme val="minor"/>
      </font>
      <numFmt numFmtId="169" formatCode="_-* #,##0.00\ [$€-407]_-;\-* #,##0.00\ [$€-407]_-;_-* &quot;-&quot;??\ [$€-407]_-;_-@_-"/>
    </dxf>
    <dxf>
      <font>
        <strike val="0"/>
        <outline val="0"/>
        <shadow val="0"/>
        <u val="none"/>
        <vertAlign val="baseline"/>
        <sz val="14"/>
        <name val="Calibri"/>
        <family val="2"/>
        <scheme val="minor"/>
      </font>
    </dxf>
    <dxf>
      <font>
        <strike val="0"/>
        <outline val="0"/>
        <shadow val="0"/>
        <u val="none"/>
        <vertAlign val="baseline"/>
        <sz val="14"/>
        <name val="Calibri"/>
        <family val="2"/>
        <scheme val="minor"/>
      </font>
      <border diagonalUp="0" diagonalDown="0">
        <left style="medium">
          <color theme="4"/>
        </left>
        <right/>
        <top/>
        <bottom/>
        <vertical/>
        <horizontal/>
      </border>
    </dxf>
    <dxf>
      <font>
        <strike val="0"/>
        <outline val="0"/>
        <shadow val="0"/>
        <u val="none"/>
        <vertAlign val="baseline"/>
        <sz val="14"/>
        <color theme="3"/>
        <name val="Calibri"/>
        <family val="2"/>
        <scheme val="minor"/>
      </font>
      <alignment horizontal="center" vertical="center" textRotation="0" indent="0" justifyLastLine="0" shrinkToFit="0" readingOrder="0"/>
    </dxf>
    <dxf>
      <font>
        <strike val="0"/>
        <outline val="0"/>
        <shadow val="0"/>
        <u val="none"/>
        <vertAlign val="baseline"/>
        <sz val="14"/>
        <name val="Calibri"/>
        <family val="2"/>
        <scheme val="minor"/>
      </font>
    </dxf>
    <dxf>
      <font>
        <strike val="0"/>
        <outline val="0"/>
        <shadow val="0"/>
        <u val="none"/>
        <vertAlign val="baseline"/>
        <sz val="12"/>
        <color theme="3"/>
        <name val="Calibri"/>
        <family val="2"/>
        <scheme val="minor"/>
      </font>
    </dxf>
    <dxf>
      <font>
        <strike val="0"/>
        <outline val="0"/>
        <shadow val="0"/>
        <u val="none"/>
        <vertAlign val="baseline"/>
        <sz val="14"/>
        <name val="Calibri"/>
        <family val="2"/>
        <scheme val="minor"/>
      </font>
      <alignment horizontal="center" vertical="center" textRotation="0" indent="0" justifyLastLine="0" shrinkToFit="0" readingOrder="0"/>
    </dxf>
    <dxf>
      <font>
        <b val="0"/>
        <i val="0"/>
        <strike val="0"/>
        <condense val="0"/>
        <extend val="0"/>
        <outline val="0"/>
        <shadow val="0"/>
        <u val="none"/>
        <vertAlign val="baseline"/>
        <sz val="14"/>
        <color theme="3"/>
        <name val="Calibri"/>
        <family val="2"/>
        <scheme val="minor"/>
      </font>
      <alignment horizontal="left" vertical="center" textRotation="0" wrapText="1" relativeIndent="1" justifyLastLine="0" shrinkToFit="0" readingOrder="0"/>
    </dxf>
    <dxf>
      <font>
        <strike val="0"/>
        <outline val="0"/>
        <shadow val="0"/>
        <u val="none"/>
        <vertAlign val="baseline"/>
        <sz val="14"/>
        <color theme="3"/>
        <name val="Calibri"/>
        <family val="2"/>
        <scheme val="minor"/>
      </font>
      <alignment horizontal="left" vertical="center" textRotation="0" wrapText="0" indent="0" justifyLastLine="0" shrinkToFit="1" readingOrder="0"/>
    </dxf>
    <dxf>
      <font>
        <strike val="0"/>
        <outline val="0"/>
        <shadow val="0"/>
        <u val="none"/>
        <vertAlign val="baseline"/>
        <sz val="14"/>
        <name val="Calibri"/>
        <family val="2"/>
        <scheme val="minor"/>
      </font>
    </dxf>
    <dxf>
      <font>
        <strike val="0"/>
        <outline val="0"/>
        <shadow val="0"/>
        <u val="none"/>
        <vertAlign val="baseline"/>
        <sz val="14"/>
        <name val="Calibri"/>
        <family val="2"/>
        <scheme val="minor"/>
      </font>
    </dxf>
    <dxf>
      <font>
        <strike val="0"/>
        <outline val="0"/>
        <shadow val="0"/>
        <u val="none"/>
        <vertAlign val="baseline"/>
        <sz val="14"/>
        <name val="Calibri"/>
        <family val="2"/>
        <scheme val="minor"/>
      </font>
    </dxf>
    <dxf>
      <alignment horizontal="general" vertical="center" textRotation="0" wrapText="1" indent="0" justifyLastLine="0" shrinkToFit="0" readingOrder="0"/>
    </dxf>
    <dxf>
      <alignment horizontal="center" vertical="center" textRotation="0" indent="0" justifyLastLine="0" shrinkToFit="0" readingOrder="0"/>
    </dxf>
    <dxf>
      <numFmt numFmtId="0" formatCode="General"/>
      <alignment horizontal="center" vertical="center" textRotation="0" indent="0" justifyLastLine="0" shrinkToFit="0" readingOrder="0"/>
    </dxf>
    <dxf>
      <font>
        <strike val="0"/>
        <outline val="0"/>
        <shadow val="0"/>
        <u val="none"/>
        <vertAlign val="baseline"/>
        <sz val="11"/>
        <color theme="0" tint="-0.249977111117893"/>
        <name val="Calibri"/>
        <family val="2"/>
        <scheme val="minor"/>
      </font>
      <numFmt numFmtId="169" formatCode="_-* #,##0.00\ [$€-407]_-;\-* #,##0.00\ [$€-407]_-;_-* &quot;-&quot;??\ [$€-407]_-;_-@_-"/>
    </dxf>
    <dxf>
      <fill>
        <patternFill patternType="solid">
          <fgColor theme="4" tint="0.79995117038483843"/>
          <bgColor theme="2"/>
        </patternFill>
      </fill>
    </dxf>
    <dxf>
      <fill>
        <patternFill patternType="solid">
          <fgColor theme="4" tint="0.79995117038483843"/>
          <bgColor theme="2"/>
        </patternFill>
      </fill>
    </dxf>
    <dxf>
      <font>
        <b/>
        <i val="0"/>
      </font>
      <border>
        <bottom style="double">
          <color theme="4" tint="-0.24994659260841701"/>
        </bottom>
      </border>
    </dxf>
    <dxf>
      <font>
        <b/>
        <i val="0"/>
        <color theme="3"/>
      </font>
      <fill>
        <patternFill patternType="none">
          <bgColor auto="1"/>
        </patternFill>
      </fill>
      <border>
        <left/>
        <right/>
        <top style="thick">
          <color theme="4" tint="-0.24994659260841701"/>
        </top>
        <bottom style="thick">
          <color theme="4" tint="-0.24994659260841701"/>
        </bottom>
        <vertical/>
        <horizontal/>
      </border>
    </dxf>
    <dxf>
      <border diagonalUp="0" diagonalDown="0">
        <left/>
        <right/>
        <top/>
        <bottom style="thick">
          <color theme="4" tint="-0.24994659260841701"/>
        </bottom>
        <vertical/>
        <horizontal/>
      </border>
    </dxf>
  </dxfs>
  <tableStyles count="1" defaultTableStyle="TableStyleMedium2" defaultPivotStyle="PivotStyleLight16">
    <tableStyle name="Handelsrechnung" pivot="0" count="5" xr9:uid="{00000000-0011-0000-FFFF-FFFF00000000}">
      <tableStyleElement type="wholeTable" dxfId="73"/>
      <tableStyleElement type="headerRow" dxfId="72"/>
      <tableStyleElement type="totalRow" dxfId="71"/>
      <tableStyleElement type="firstRowStripe" dxfId="70"/>
      <tableStyleElement type="firstColumnStripe" dxfId="69"/>
    </tableStyle>
  </tableStyles>
  <colors>
    <mruColors>
      <color rgb="FFFF99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hyperlink" Target="#Kassenbuch!A1"/><Relationship Id="rId1" Type="http://schemas.openxmlformats.org/officeDocument/2006/relationships/hyperlink" Target="#Handelsrechnung!A1"/></Relationships>
</file>

<file path=xl/drawings/_rels/drawing2.xml.rels><?xml version="1.0" encoding="UTF-8" standalone="yes"?>
<Relationships xmlns="http://schemas.openxmlformats.org/package/2006/relationships"><Relationship Id="rId3" Type="http://schemas.openxmlformats.org/officeDocument/2006/relationships/hyperlink" Target="#Einnahmeplan!A1"/><Relationship Id="rId2" Type="http://schemas.openxmlformats.org/officeDocument/2006/relationships/image" Target="../media/image1.png"/><Relationship Id="rId1" Type="http://schemas.openxmlformats.org/officeDocument/2006/relationships/hyperlink" Target="#Kunden!A1"/></Relationships>
</file>

<file path=xl/drawings/_rels/drawing3.xml.rels><?xml version="1.0" encoding="UTF-8" standalone="yes"?>
<Relationships xmlns="http://schemas.openxmlformats.org/package/2006/relationships"><Relationship Id="rId2" Type="http://schemas.openxmlformats.org/officeDocument/2006/relationships/hyperlink" Target="#Kassenbuch!A1"/><Relationship Id="rId1" Type="http://schemas.openxmlformats.org/officeDocument/2006/relationships/hyperlink" Target="#Handelsrechnung!A1"/></Relationships>
</file>

<file path=xl/drawings/_rels/drawing4.xml.rels><?xml version="1.0" encoding="UTF-8" standalone="yes"?>
<Relationships xmlns="http://schemas.openxmlformats.org/package/2006/relationships"><Relationship Id="rId1" Type="http://schemas.openxmlformats.org/officeDocument/2006/relationships/hyperlink" Target="#NE_Rechnung!A1"/></Relationships>
</file>

<file path=xl/drawings/drawing1.xml><?xml version="1.0" encoding="utf-8"?>
<xdr:wsDr xmlns:xdr="http://schemas.openxmlformats.org/drawingml/2006/spreadsheetDrawing" xmlns:a="http://schemas.openxmlformats.org/drawingml/2006/main">
  <xdr:twoCellAnchor>
    <xdr:from>
      <xdr:col>10</xdr:col>
      <xdr:colOff>28575</xdr:colOff>
      <xdr:row>0</xdr:row>
      <xdr:rowOff>66673</xdr:rowOff>
    </xdr:from>
    <xdr:to>
      <xdr:col>10</xdr:col>
      <xdr:colOff>1464183</xdr:colOff>
      <xdr:row>0</xdr:row>
      <xdr:rowOff>478153</xdr:rowOff>
    </xdr:to>
    <xdr:sp macro="" textlink="">
      <xdr:nvSpPr>
        <xdr:cNvPr id="2" name="Pfeil: Fünfeck 1" descr="Auswählen, um zum Arbeitsblatt &quot;Handelsrechnung&quot; zu navigieren">
          <a:hlinkClick xmlns:r="http://schemas.openxmlformats.org/officeDocument/2006/relationships" r:id="rId1" tooltip="Auswählen, um zum Arbeitsblatt &quot;Handelsrechnung&quot; zu navigieren"/>
          <a:extLst>
            <a:ext uri="{FF2B5EF4-FFF2-40B4-BE49-F238E27FC236}">
              <a16:creationId xmlns:a16="http://schemas.microsoft.com/office/drawing/2014/main" id="{AD8A1A9C-0224-45A6-9721-F5AD8E9D7BD7}"/>
            </a:ext>
          </a:extLst>
        </xdr:cNvPr>
        <xdr:cNvSpPr/>
      </xdr:nvSpPr>
      <xdr:spPr>
        <a:xfrm flipH="1">
          <a:off x="18040350" y="66673"/>
          <a:ext cx="2871216" cy="411480"/>
        </a:xfrm>
        <a:prstGeom prst="homePlate">
          <a:avLst/>
        </a:prstGeom>
        <a:solidFill>
          <a:schemeClr val="tx2"/>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0"/>
          <a:r>
            <a:rPr lang="de" sz="1100" b="0">
              <a:solidFill>
                <a:schemeClr val="bg1"/>
              </a:solidFill>
            </a:rPr>
            <a:t>Handels</a:t>
          </a:r>
          <a:r>
            <a:rPr lang="de" sz="1100" b="0" baseline="0">
              <a:solidFill>
                <a:schemeClr val="bg1"/>
              </a:solidFill>
            </a:rPr>
            <a:t>rechnung</a:t>
          </a:r>
          <a:endParaRPr lang="en-US" sz="1100" b="0">
            <a:solidFill>
              <a:schemeClr val="bg1"/>
            </a:solidFill>
          </a:endParaRPr>
        </a:p>
      </xdr:txBody>
    </xdr:sp>
    <xdr:clientData/>
  </xdr:twoCellAnchor>
  <xdr:twoCellAnchor>
    <xdr:from>
      <xdr:col>10</xdr:col>
      <xdr:colOff>0</xdr:colOff>
      <xdr:row>2</xdr:row>
      <xdr:rowOff>0</xdr:rowOff>
    </xdr:from>
    <xdr:to>
      <xdr:col>10</xdr:col>
      <xdr:colOff>1435608</xdr:colOff>
      <xdr:row>3</xdr:row>
      <xdr:rowOff>30480</xdr:rowOff>
    </xdr:to>
    <xdr:sp macro="" textlink="">
      <xdr:nvSpPr>
        <xdr:cNvPr id="3" name="Pfeil: Fünfeck 2" descr="Auswählen, um zum Arbeitsblatt &quot;Handelsrechnung&quot; zu navigieren">
          <a:hlinkClick xmlns:r="http://schemas.openxmlformats.org/officeDocument/2006/relationships" r:id="rId2" tooltip="Auswählen, um zum Arbeitsblatt &quot;Handelsrechnung&quot; zu navigieren"/>
          <a:extLst>
            <a:ext uri="{FF2B5EF4-FFF2-40B4-BE49-F238E27FC236}">
              <a16:creationId xmlns:a16="http://schemas.microsoft.com/office/drawing/2014/main" id="{24524D5D-CAC0-4E8B-9E2D-921AAF9F0D99}"/>
            </a:ext>
          </a:extLst>
        </xdr:cNvPr>
        <xdr:cNvSpPr/>
      </xdr:nvSpPr>
      <xdr:spPr>
        <a:xfrm flipH="1">
          <a:off x="17983200" y="914400"/>
          <a:ext cx="2871216" cy="230505"/>
        </a:xfrm>
        <a:prstGeom prst="homePlate">
          <a:avLst/>
        </a:prstGeom>
        <a:solidFill>
          <a:srgbClr val="FFFF00"/>
        </a:solidFill>
        <a:ln w="25400" cap="flat" cmpd="sng" algn="ctr">
          <a:solidFill>
            <a:srgbClr val="735223"/>
          </a:solidFill>
          <a:prstDash val="solid"/>
        </a:ln>
        <a:effectLst/>
      </xdr:spPr>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de" sz="1600" b="1" i="0" u="none" strike="noStrike" kern="0" cap="none" spc="0" normalizeH="0" baseline="0" noProof="0">
              <a:ln>
                <a:noFill/>
              </a:ln>
              <a:solidFill>
                <a:schemeClr val="tx2"/>
              </a:solidFill>
              <a:effectLst/>
              <a:uLnTx/>
              <a:uFillTx/>
              <a:latin typeface="Calibri" panose="020F0502020204030204"/>
              <a:ea typeface="+mn-ea"/>
              <a:cs typeface="+mn-cs"/>
            </a:rPr>
            <a:t>Kassenbuch</a:t>
          </a:r>
          <a:endParaRPr kumimoji="0" lang="en-US" sz="1100" b="1" i="0" u="none" strike="noStrike" kern="0" cap="none" spc="0" normalizeH="0" baseline="0" noProof="0">
            <a:ln>
              <a:noFill/>
            </a:ln>
            <a:solidFill>
              <a:schemeClr val="tx2"/>
            </a:solidFill>
            <a:effectLst/>
            <a:uLnTx/>
            <a:uFillTx/>
            <a:latin typeface="Calibri" panose="020F0502020204030204"/>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110213</xdr:colOff>
      <xdr:row>0</xdr:row>
      <xdr:rowOff>161926</xdr:rowOff>
    </xdr:from>
    <xdr:to>
      <xdr:col>13</xdr:col>
      <xdr:colOff>1515565</xdr:colOff>
      <xdr:row>0</xdr:row>
      <xdr:rowOff>571500</xdr:rowOff>
    </xdr:to>
    <xdr:sp macro="" textlink="">
      <xdr:nvSpPr>
        <xdr:cNvPr id="3" name="Pfeil: Fünfeck 2" descr="Auswählen, um zum Arbeitsblatt &quot;Kunden&quot; zu navigieren">
          <a:hlinkClick xmlns:r="http://schemas.openxmlformats.org/officeDocument/2006/relationships" r:id="rId1" tooltip="Auswählen, um zum Arbeitsblatt &quot;Kunden&quot; zu navigieren"/>
          <a:extLst>
            <a:ext uri="{FF2B5EF4-FFF2-40B4-BE49-F238E27FC236}">
              <a16:creationId xmlns:a16="http://schemas.microsoft.com/office/drawing/2014/main" id="{74092F0A-1B54-4027-B0EC-248D38E21E12}"/>
            </a:ext>
          </a:extLst>
        </xdr:cNvPr>
        <xdr:cNvSpPr/>
      </xdr:nvSpPr>
      <xdr:spPr>
        <a:xfrm>
          <a:off x="11540213" y="161926"/>
          <a:ext cx="1435608" cy="409574"/>
        </a:xfrm>
        <a:prstGeom prst="homePlate">
          <a:avLst/>
        </a:prstGeom>
        <a:solidFill>
          <a:schemeClr val="tx2"/>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0"/>
          <a:r>
            <a:rPr lang="de" sz="1800" b="1">
              <a:solidFill>
                <a:schemeClr val="bg1"/>
              </a:solidFill>
            </a:rPr>
            <a:t>Kunden</a:t>
          </a:r>
        </a:p>
      </xdr:txBody>
    </xdr:sp>
    <xdr:clientData/>
  </xdr:twoCellAnchor>
  <xdr:twoCellAnchor editAs="oneCell">
    <xdr:from>
      <xdr:col>7</xdr:col>
      <xdr:colOff>116921</xdr:colOff>
      <xdr:row>0</xdr:row>
      <xdr:rowOff>0</xdr:rowOff>
    </xdr:from>
    <xdr:to>
      <xdr:col>10</xdr:col>
      <xdr:colOff>1166247</xdr:colOff>
      <xdr:row>10</xdr:row>
      <xdr:rowOff>132985</xdr:rowOff>
    </xdr:to>
    <xdr:pic>
      <xdr:nvPicPr>
        <xdr:cNvPr id="4" name="Grafik 3">
          <a:extLst>
            <a:ext uri="{FF2B5EF4-FFF2-40B4-BE49-F238E27FC236}">
              <a16:creationId xmlns:a16="http://schemas.microsoft.com/office/drawing/2014/main" id="{0593D484-3B1B-4897-966C-5EC3AF1E140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8117921" y="0"/>
          <a:ext cx="2368579" cy="2306926"/>
        </a:xfrm>
        <a:prstGeom prst="rect">
          <a:avLst/>
        </a:prstGeom>
      </xdr:spPr>
    </xdr:pic>
    <xdr:clientData/>
  </xdr:twoCellAnchor>
  <xdr:twoCellAnchor editAs="oneCell">
    <xdr:from>
      <xdr:col>13</xdr:col>
      <xdr:colOff>108856</xdr:colOff>
      <xdr:row>4</xdr:row>
      <xdr:rowOff>0</xdr:rowOff>
    </xdr:from>
    <xdr:to>
      <xdr:col>13</xdr:col>
      <xdr:colOff>1514208</xdr:colOff>
      <xdr:row>6</xdr:row>
      <xdr:rowOff>118221</xdr:rowOff>
    </xdr:to>
    <xdr:sp macro="" textlink="">
      <xdr:nvSpPr>
        <xdr:cNvPr id="8" name="Pfeil: Fünfeck 7" descr="Auswählen, um zum Arbeitsblatt &quot;Kunden&quot; zu navigieren">
          <a:hlinkClick xmlns:r="http://schemas.openxmlformats.org/officeDocument/2006/relationships" r:id="rId3" tooltip="Auswählen, um zum Arbeitsblatt &quot;Kunden&quot; zu navigieren"/>
          <a:extLst>
            <a:ext uri="{FF2B5EF4-FFF2-40B4-BE49-F238E27FC236}">
              <a16:creationId xmlns:a16="http://schemas.microsoft.com/office/drawing/2014/main" id="{A5CD78ED-7051-4977-A94C-51419E2FA48A}"/>
            </a:ext>
          </a:extLst>
        </xdr:cNvPr>
        <xdr:cNvSpPr/>
      </xdr:nvSpPr>
      <xdr:spPr>
        <a:xfrm>
          <a:off x="11538856" y="1238250"/>
          <a:ext cx="1435608" cy="403971"/>
        </a:xfrm>
        <a:prstGeom prst="homePlate">
          <a:avLst/>
        </a:prstGeom>
        <a:solidFill>
          <a:srgbClr val="FF9900"/>
        </a:solidFill>
        <a:ln w="25400" cap="flat" cmpd="sng" algn="ctr">
          <a:solidFill>
            <a:srgbClr val="735223"/>
          </a:solidFill>
          <a:prstDash val="solid"/>
        </a:ln>
        <a:effectLst/>
      </xdr:spPr>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de" sz="1400" b="1" i="0" u="none" strike="noStrike" kern="0" cap="none" spc="0" normalizeH="0" baseline="0" noProof="0">
              <a:ln>
                <a:noFill/>
              </a:ln>
              <a:solidFill>
                <a:sysClr val="window" lastClr="FFFFFF"/>
              </a:solidFill>
              <a:effectLst/>
              <a:uLnTx/>
              <a:uFillTx/>
              <a:latin typeface="Calibri" panose="020F0502020204030204"/>
              <a:ea typeface="+mn-ea"/>
              <a:cs typeface="+mn-cs"/>
            </a:rPr>
            <a:t>Einnahmeplan</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10</xdr:col>
      <xdr:colOff>28575</xdr:colOff>
      <xdr:row>0</xdr:row>
      <xdr:rowOff>66673</xdr:rowOff>
    </xdr:from>
    <xdr:to>
      <xdr:col>10</xdr:col>
      <xdr:colOff>1464183</xdr:colOff>
      <xdr:row>0</xdr:row>
      <xdr:rowOff>478153</xdr:rowOff>
    </xdr:to>
    <xdr:sp macro="" textlink="">
      <xdr:nvSpPr>
        <xdr:cNvPr id="2" name="Pfeil: Fünfeck 1" descr="Auswählen, um zum Arbeitsblatt &quot;Handelsrechnung&quot; zu navigieren">
          <a:hlinkClick xmlns:r="http://schemas.openxmlformats.org/officeDocument/2006/relationships" r:id="rId1" tooltip="Auswählen, um zum Arbeitsblatt &quot;Handelsrechnung&quot; zu navigieren"/>
          <a:extLst>
            <a:ext uri="{FF2B5EF4-FFF2-40B4-BE49-F238E27FC236}">
              <a16:creationId xmlns:a16="http://schemas.microsoft.com/office/drawing/2014/main" id="{A5E8F134-1E76-4C9B-9B50-1660B9C0E427}"/>
            </a:ext>
          </a:extLst>
        </xdr:cNvPr>
        <xdr:cNvSpPr/>
      </xdr:nvSpPr>
      <xdr:spPr>
        <a:xfrm flipH="1">
          <a:off x="12630150" y="66673"/>
          <a:ext cx="1435608" cy="411480"/>
        </a:xfrm>
        <a:prstGeom prst="homePlate">
          <a:avLst/>
        </a:prstGeom>
        <a:solidFill>
          <a:schemeClr val="tx2"/>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0"/>
          <a:r>
            <a:rPr lang="de" sz="1100" b="0">
              <a:solidFill>
                <a:schemeClr val="bg1"/>
              </a:solidFill>
            </a:rPr>
            <a:t>Handels</a:t>
          </a:r>
          <a:r>
            <a:rPr lang="de" sz="1100" b="0" baseline="0">
              <a:solidFill>
                <a:schemeClr val="bg1"/>
              </a:solidFill>
            </a:rPr>
            <a:t>rechnung</a:t>
          </a:r>
          <a:endParaRPr lang="en-US" sz="1100" b="0">
            <a:solidFill>
              <a:schemeClr val="bg1"/>
            </a:solidFill>
          </a:endParaRPr>
        </a:p>
      </xdr:txBody>
    </xdr:sp>
    <xdr:clientData/>
  </xdr:twoCellAnchor>
  <xdr:twoCellAnchor>
    <xdr:from>
      <xdr:col>10</xdr:col>
      <xdr:colOff>0</xdr:colOff>
      <xdr:row>2</xdr:row>
      <xdr:rowOff>0</xdr:rowOff>
    </xdr:from>
    <xdr:to>
      <xdr:col>10</xdr:col>
      <xdr:colOff>1435608</xdr:colOff>
      <xdr:row>3</xdr:row>
      <xdr:rowOff>30480</xdr:rowOff>
    </xdr:to>
    <xdr:sp macro="" textlink="">
      <xdr:nvSpPr>
        <xdr:cNvPr id="6" name="Pfeil: Fünfeck 5" descr="Auswählen, um zum Arbeitsblatt &quot;Handelsrechnung&quot; zu navigieren">
          <a:hlinkClick xmlns:r="http://schemas.openxmlformats.org/officeDocument/2006/relationships" r:id="rId2" tooltip="Auswählen, um zum Arbeitsblatt &quot;Handelsrechnung&quot; zu navigieren"/>
          <a:extLst>
            <a:ext uri="{FF2B5EF4-FFF2-40B4-BE49-F238E27FC236}">
              <a16:creationId xmlns:a16="http://schemas.microsoft.com/office/drawing/2014/main" id="{209C2896-1A63-44C8-A696-E250843F1A1B}"/>
            </a:ext>
          </a:extLst>
        </xdr:cNvPr>
        <xdr:cNvSpPr/>
      </xdr:nvSpPr>
      <xdr:spPr>
        <a:xfrm flipH="1">
          <a:off x="11296650" y="914400"/>
          <a:ext cx="1435608" cy="411480"/>
        </a:xfrm>
        <a:prstGeom prst="homePlate">
          <a:avLst/>
        </a:prstGeom>
        <a:solidFill>
          <a:srgbClr val="FFFF00"/>
        </a:solidFill>
        <a:ln w="25400" cap="flat" cmpd="sng" algn="ctr">
          <a:solidFill>
            <a:srgbClr val="735223"/>
          </a:solidFill>
          <a:prstDash val="solid"/>
        </a:ln>
        <a:effectLst/>
      </xdr:spPr>
      <xdr:txBody>
        <a:bodyPr vertOverflow="clip" horzOverflow="clip" rtlCol="0" anchor="ct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de" sz="1600" b="1" i="0" u="none" strike="noStrike" kern="0" cap="none" spc="0" normalizeH="0" baseline="0" noProof="0">
              <a:ln>
                <a:noFill/>
              </a:ln>
              <a:solidFill>
                <a:schemeClr val="tx2"/>
              </a:solidFill>
              <a:effectLst/>
              <a:uLnTx/>
              <a:uFillTx/>
              <a:latin typeface="Calibri" panose="020F0502020204030204"/>
              <a:ea typeface="+mn-ea"/>
              <a:cs typeface="+mn-cs"/>
            </a:rPr>
            <a:t>Kassenbuch</a:t>
          </a:r>
          <a:endParaRPr kumimoji="0" lang="en-US" sz="1100" b="1" i="0" u="none" strike="noStrike" kern="0" cap="none" spc="0" normalizeH="0" baseline="0" noProof="0">
            <a:ln>
              <a:noFill/>
            </a:ln>
            <a:solidFill>
              <a:schemeClr val="tx2"/>
            </a:solidFill>
            <a:effectLst/>
            <a:uLnTx/>
            <a:uFillTx/>
            <a:latin typeface="Calibri" panose="020F0502020204030204"/>
            <a:ea typeface="+mn-ea"/>
            <a:cs typeface="+mn-cs"/>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28575</xdr:colOff>
      <xdr:row>0</xdr:row>
      <xdr:rowOff>66673</xdr:rowOff>
    </xdr:from>
    <xdr:to>
      <xdr:col>8</xdr:col>
      <xdr:colOff>1464183</xdr:colOff>
      <xdr:row>0</xdr:row>
      <xdr:rowOff>478153</xdr:rowOff>
    </xdr:to>
    <xdr:sp macro="" textlink="">
      <xdr:nvSpPr>
        <xdr:cNvPr id="2" name="Pfeil: Fünfeck 1" descr="Auswählen, um zum Arbeitsblatt &quot;Handelsrechnung&quot; zu navigieren">
          <a:hlinkClick xmlns:r="http://schemas.openxmlformats.org/officeDocument/2006/relationships" r:id="rId1" tooltip="Auswählen, um zum Arbeitsblatt &quot;Handelsrechnung&quot; zu navigieren"/>
          <a:extLst>
            <a:ext uri="{FF2B5EF4-FFF2-40B4-BE49-F238E27FC236}">
              <a16:creationId xmlns:a16="http://schemas.microsoft.com/office/drawing/2014/main" id="{A369B219-35C8-4A3B-AB52-F207ECE6F82D}"/>
            </a:ext>
          </a:extLst>
        </xdr:cNvPr>
        <xdr:cNvSpPr/>
      </xdr:nvSpPr>
      <xdr:spPr>
        <a:xfrm flipH="1">
          <a:off x="14478000" y="66673"/>
          <a:ext cx="1435608" cy="411480"/>
        </a:xfrm>
        <a:prstGeom prst="homePlate">
          <a:avLst/>
        </a:prstGeom>
        <a:solidFill>
          <a:schemeClr val="tx2"/>
        </a:solidFill>
        <a:ln>
          <a:solidFill>
            <a:schemeClr val="tx2"/>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rtl="0"/>
          <a:r>
            <a:rPr lang="de" sz="1400" b="1">
              <a:solidFill>
                <a:schemeClr val="bg1"/>
              </a:solidFill>
            </a:rPr>
            <a:t>NE-R</a:t>
          </a:r>
          <a:r>
            <a:rPr lang="de" sz="1400" b="1" baseline="0">
              <a:solidFill>
                <a:schemeClr val="bg1"/>
              </a:solidFill>
            </a:rPr>
            <a:t>echnung</a:t>
          </a:r>
          <a:endParaRPr lang="en-US" sz="1400" b="1">
            <a:solidFill>
              <a:schemeClr val="bg1"/>
            </a:solidFill>
          </a:endParaRP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8D049DC7-EC65-4D22-827C-49314D450603}" name="Kundenliste36" displayName="Kundenliste36" ref="B2:I84">
  <autoFilter ref="B2:I84" xr:uid="{00000000-0009-0000-0100-000001000000}"/>
  <sortState xmlns:xlrd2="http://schemas.microsoft.com/office/spreadsheetml/2017/richdata2" ref="B3:I84">
    <sortCondition ref="B3:B84"/>
  </sortState>
  <tableColumns count="8">
    <tableColumn id="2" xr3:uid="{BD60BD86-E3DE-4A63-BA6C-6BDB1793E6BD}" name="Name" dataCellStyle="Standard"/>
    <tableColumn id="3" xr3:uid="{AD20BF96-ECD2-4340-A111-678130821270}" name="Inhalt" dataCellStyle="Standard"/>
    <tableColumn id="4" xr3:uid="{1AA731AC-6764-4A24-B477-9DD19D60F86C}" name="Einkauf" dataDxfId="68" dataCellStyle="Komma"/>
    <tableColumn id="5" xr3:uid="{28B5B575-C13A-46B4-B56B-4F03B48E3C73}" name="MwSt" dataDxfId="67" dataCellStyle="Standard"/>
    <tableColumn id="7" xr3:uid="{2D2D298F-C312-4805-88CA-FF01AB5B41C4}" name="Verkauf" dataCellStyle="Währung"/>
    <tableColumn id="8" xr3:uid="{1447371A-DFFD-4EF8-9E1A-2B461DD18AD5}" name="Inhalt / Kosten" dataDxfId="66" dataCellStyle="Telefon"/>
    <tableColumn id="10" xr3:uid="{FD5B87EA-0662-443F-9EE1-5922047F3224}" name="Info" dataDxfId="65" dataCellStyle="Link"/>
    <tableColumn id="11" xr3:uid="{06CDD601-2A5B-41BD-AAD8-304B6A56A3A7}" name="  "/>
  </tableColumns>
  <tableStyleInfo name="Handelsrechnung" showFirstColumn="0" showLastColumn="0" showRowStripes="1" showColumnStripes="0"/>
  <extLst>
    <ext xmlns:x14="http://schemas.microsoft.com/office/spreadsheetml/2009/9/main" uri="{504A1905-F514-4f6f-8877-14C23A59335A}">
      <x14:table altTextSummary="Geben Sie in dieser Tabelle Kundendetails, wie Firmenname, Kontaktname, Adresse, Telefonnummer, E-Mail- und Faxnummer, ein."/>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Rechnungspositionen" displayName="Rechnungspositionen" ref="D19:J41" headerRowDxfId="64" dataDxfId="63" totalsRowDxfId="62">
  <autoFilter ref="D19:J41" xr:uid="{00000000-0009-0000-0100-000003000000}">
    <filterColumn colId="0" hiddenButton="1"/>
    <filterColumn colId="1" hiddenButton="1"/>
    <filterColumn colId="2" hiddenButton="1"/>
    <filterColumn colId="3" hiddenButton="1"/>
    <filterColumn colId="4" hiddenButton="1"/>
    <filterColumn colId="5" hiddenButton="1"/>
    <filterColumn colId="6" hiddenButton="1"/>
  </autoFilter>
  <tableColumns count="7">
    <tableColumn id="2" xr3:uid="{00000000-0010-0000-0000-000002000000}" name="Beschreibung" dataDxfId="61" dataCellStyle="Tabellendetails linksbündig"/>
    <tableColumn id="8" xr3:uid="{FF0E5CDB-8E67-4996-BC24-7E4361B8E5B4}" name="Inhalt" dataDxfId="60" dataCellStyle="Tabellendetails linksbündig"/>
    <tableColumn id="3" xr3:uid="{00000000-0010-0000-0000-000003000000}" name="Menge" dataDxfId="59" dataCellStyle="Menge"/>
    <tableColumn id="4" xr3:uid="{00000000-0010-0000-0000-000004000000}" name="Einzelpreis" dataDxfId="58" dataCellStyle="Währung">
      <calculatedColumnFormula>IFERROR(VLOOKUP(D20,Produktliste,5,FALSE),"")</calculatedColumnFormula>
    </tableColumn>
    <tableColumn id="5" xr3:uid="{00000000-0010-0000-0000-000005000000}" name="-" dataDxfId="57"/>
    <tableColumn id="6" xr3:uid="{00000000-0010-0000-0000-000006000000}" name="Gesamt" dataDxfId="56" dataCellStyle="Währung [0]">
      <calculatedColumnFormula>IF(AND(Rechnungspositionen[[#This Row],[Menge]]&lt;&gt;"",Rechnungspositionen[[#This Row],[Einzelpreis]]&lt;&gt;""),(Rechnungspositionen[[#This Row],[Menge]]*Rechnungspositionen[[#This Row],[Einzelpreis]])-Rechnungspositionen[[#This Row],[-]],"")</calculatedColumnFormula>
    </tableColumn>
    <tableColumn id="1" xr3:uid="{B2665304-03FB-452E-BC39-D002572E24E6}" name="Einnahme empfehlung" dataDxfId="55" totalsRowDxfId="54"/>
  </tableColumns>
  <tableStyleInfo name="Handelsrechnung" showFirstColumn="0" showLastColumn="0" showRowStripes="1" showColumnStripes="0"/>
  <extLst>
    <ext xmlns:x14="http://schemas.microsoft.com/office/spreadsheetml/2009/9/main" uri="{504A1905-F514-4f6f-8877-14C23A59335A}">
      <x14:table altTextSummary="Geben Sie in dieser Tabelle Datum, Artikelnummer, Beschreibung, Menge, Einzelpreis und Rabatt ein. Die Summe wird automatisch berechnet."/>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26F7666-2BD5-4CB2-8065-ACBDA9D56FB4}" name="Kundenliste3" displayName="Kundenliste3" ref="B2:I136">
  <autoFilter ref="B2:I136" xr:uid="{00000000-0009-0000-0100-000001000000}"/>
  <sortState xmlns:xlrd2="http://schemas.microsoft.com/office/spreadsheetml/2017/richdata2" ref="B3:I136">
    <sortCondition ref="B2:B136"/>
  </sortState>
  <tableColumns count="8">
    <tableColumn id="2" xr3:uid="{CF4FCE3B-B8D0-46B1-8A1E-47E28E4E6265}" name="Name" dataCellStyle="Standard"/>
    <tableColumn id="3" xr3:uid="{42973253-6C6E-4350-9EDC-86C41DFD2C5D}" name="Inhalt" dataCellStyle="Standard"/>
    <tableColumn id="4" xr3:uid="{8630952B-A6FA-4477-9775-A7EC6114DD52}" name="Einkauf" dataDxfId="53" dataCellStyle="Komma"/>
    <tableColumn id="5" xr3:uid="{103AB197-6F52-4F46-B85C-E60A39E20C6E}" name="MwSt" dataDxfId="52" dataCellStyle="Standard"/>
    <tableColumn id="7" xr3:uid="{A60B6753-134A-4BC2-96C9-D497DDDCC5D2}" name="Verkauf" dataCellStyle="Währung"/>
    <tableColumn id="8" xr3:uid="{4062DA1B-692D-4DC1-B14D-CFB6B02639F9}" name="Gewinn" dataDxfId="51" dataCellStyle="Telefon"/>
    <tableColumn id="10" xr3:uid="{BD255D3F-5044-402E-A664-6AD6EBBE4FDF}" name="Info" dataDxfId="50" dataCellStyle="Link"/>
    <tableColumn id="11" xr3:uid="{C326B8D6-298E-4CD9-B7B9-C56DC7702CC4}" name="  "/>
  </tableColumns>
  <tableStyleInfo name="Handelsrechnung" showFirstColumn="0" showLastColumn="0" showRowStripes="1" showColumnStripes="0"/>
  <extLst>
    <ext xmlns:x14="http://schemas.microsoft.com/office/spreadsheetml/2009/9/main" uri="{504A1905-F514-4f6f-8877-14C23A59335A}">
      <x14:table altTextSummary="Geben Sie in dieser Tabelle Kundendetails, wie Firmenname, Kontaktname, Adresse, Telefonnummer, E-Mail- und Faxnummer, ein."/>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Kundenliste" displayName="Kundenliste" ref="B2:G220">
  <autoFilter ref="B2:G220" xr:uid="{00000000-0009-0000-0100-000001000000}">
    <filterColumn colId="0">
      <filters>
        <filter val="Alexandra Rossol"/>
        <filter val="Alwina Teichrib"/>
        <filter val="Andrea Körbitz"/>
        <filter val="Anita Warkentin"/>
        <filter val="Anja Furch"/>
        <filter val="Anja Julio"/>
        <filter val="Anna Burghard"/>
        <filter val="Anna Klein"/>
        <filter val="Anne-Dorothe Wolf"/>
        <filter val="Anneliese Allmandinger"/>
        <filter val="Annette Molks"/>
        <filter val="Axel Börchers"/>
        <filter val="Beatrice Mentis"/>
        <filter val="Benjamin Hübert"/>
        <filter val="Christine Flottmann"/>
        <filter val="Cristophorus Mentis"/>
        <filter val="David Matis"/>
        <filter val="Dietmar Dressler"/>
        <filter val="Dimitri Janzen"/>
        <filter val="Dmitri Beljanin"/>
        <filter val="Eduard Hildebrandt"/>
        <filter val="Eduard Mulz"/>
        <filter val="Elisabeth Eck"/>
        <filter val="Elisabeth Tonski"/>
        <filter val="Franz Eck"/>
        <filter val="Helena Zesdris"/>
        <filter val="Helene Neufeld"/>
        <filter val="Irina Janzen"/>
        <filter val="Jakob Eck"/>
        <filter val="Jakob Esau"/>
        <filter val="Jakob Penner"/>
        <filter val="Jakob Tissen"/>
        <filter val="Janina Hasse"/>
        <filter val="Janna Esau"/>
        <filter val="Johann Penner"/>
        <filter val="Jörg Harring"/>
        <filter val="Julia Otto"/>
        <filter val="Julia Schreiner"/>
        <filter val="Juliane Wiebe"/>
        <filter val="Juri Giesbrecht"/>
        <filter val="Katharina Harms"/>
        <filter val="Katharina Isaak"/>
        <filter val="Katharina Poller"/>
        <filter val="Katharina Schott"/>
        <filter val="Katja Börchers"/>
        <filter val="Klara Mathies"/>
        <filter val="Kornelius Wiebe"/>
        <filter val="Leonie Fröse"/>
        <filter val="Ludmila Gaibel"/>
        <filter val="Lydia Schäfer"/>
        <filter val="Maria Miranda"/>
        <filter val="Maria Pinekenstein"/>
        <filter val="Marion Nagel"/>
        <filter val="Marta Kleffmann"/>
        <filter val="Martin Buller"/>
        <filter val="Miriam Lau"/>
        <filter val="Monika Hübert"/>
        <filter val="Natali Buchmüller"/>
        <filter val="Nelli Janzen"/>
        <filter val="Nelli Lau"/>
        <filter val="Nora Lippold"/>
        <filter val="Olga Buchmüller"/>
        <filter val="Olga Penner"/>
        <filter val="Peter Mathies"/>
        <filter val="Reinhold Kreismann"/>
        <filter val="Richard Sautmann"/>
        <filter val="Rita Fröse"/>
        <filter val="Rita Janzen"/>
        <filter val="Saskia Meyer-Hermann"/>
        <filter val="Stefan Janzen"/>
        <filter val="Stefan Poller"/>
        <filter val="Stefanie Laermans"/>
        <filter val="Tamara Reger"/>
        <filter val="Tanja Kleffmann"/>
        <filter val="Tanja Matis"/>
        <filter val="Tanja Scheller"/>
        <filter val="Thomas Hübert"/>
        <filter val="Tina Janzen"/>
        <filter val="Wladik Wiens"/>
      </filters>
    </filterColumn>
  </autoFilter>
  <sortState xmlns:xlrd2="http://schemas.microsoft.com/office/spreadsheetml/2017/richdata2" ref="B4:G220">
    <sortCondition ref="B7:B220"/>
  </sortState>
  <tableColumns count="6">
    <tableColumn id="2" xr3:uid="{00000000-0010-0000-0100-000002000000}" name="Name" dataCellStyle="Standard"/>
    <tableColumn id="3" xr3:uid="{00000000-0010-0000-0100-000003000000}" name="Rechnungsnummer" dataCellStyle="Standard"/>
    <tableColumn id="4" xr3:uid="{00000000-0010-0000-0100-000004000000}" name="Adresse" dataCellStyle="Standard"/>
    <tableColumn id="5" xr3:uid="{00000000-0010-0000-0100-000005000000}" name="PLZ _ Ort" dataCellStyle="Standard"/>
    <tableColumn id="8" xr3:uid="{00000000-0010-0000-0100-000008000000}" name="Telefon" dataCellStyle="Telefon"/>
    <tableColumn id="10" xr3:uid="{00000000-0010-0000-0100-00000A000000}" name="E-Mail" dataDxfId="49" dataCellStyle="Link"/>
  </tableColumns>
  <tableStyleInfo name="Handelsrechnung" showFirstColumn="0" showLastColumn="0" showRowStripes="1" showColumnStripes="0"/>
  <extLst>
    <ext xmlns:x14="http://schemas.microsoft.com/office/spreadsheetml/2009/9/main" uri="{504A1905-F514-4f6f-8877-14C23A59335A}">
      <x14:table altTextSummary="Geben Sie in dieser Tabelle Kundendetails, wie Firmenname, Kontaktname, Adresse, Telefonnummer, E-Mail- und Faxnummer, ein."/>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EDB0016-DEFC-4774-89B9-31AA83AFE10F}" name="Tabelle4" displayName="Tabelle4" ref="A1:W56" insertRowShift="1">
  <autoFilter ref="A1:W56" xr:uid="{7EDB0016-DEFC-4774-89B9-31AA83AFE10F}"/>
  <sortState xmlns:xlrd2="http://schemas.microsoft.com/office/spreadsheetml/2017/richdata2" ref="A2:W56">
    <sortCondition ref="A1:A56"/>
  </sortState>
  <tableColumns count="23">
    <tableColumn id="1" xr3:uid="{ACC5FD01-71E7-4655-A553-FAEDD22A57C2}" name="Produktliste - Bestellung" totalsRowLabel="Ergebnis" dataDxfId="48" totalsRowDxfId="47" dataCellStyle="Überschrift 5"/>
    <tableColumn id="23" xr3:uid="{13EC771A-119D-44AA-90AD-C1B7D883C904}" name="Inhalt" dataDxfId="46" totalsRowDxfId="45" dataCellStyle="Überschrift 5"/>
    <tableColumn id="2" xr3:uid="{20F76641-0EE3-4335-BFD1-26D4DB4E87BF}" name="Preis2026 EK" dataDxfId="44" totalsRowDxfId="43" dataCellStyle="Währung"/>
    <tableColumn id="3" xr3:uid="{845E7E5C-272A-4A9E-82ED-CFC5DD2FE915}" name="Preis2026 VK" dataDxfId="42" totalsRowDxfId="41" dataCellStyle="Währung"/>
    <tableColumn id="4" xr3:uid="{D19B93A1-695C-4974-BD37-874F5FD0E43C}" name="1. Quartal" dataDxfId="40" totalsRowDxfId="39" dataCellStyle="Standard 3"/>
    <tableColumn id="5" xr3:uid="{B8D86CB8-D18E-4949-A43C-2A2888BB57A2}" name="2. Quartal" dataDxfId="38" totalsRowDxfId="37" dataCellStyle="Standard 3"/>
    <tableColumn id="6" xr3:uid="{4C80B424-DA85-498C-9882-5F6B6E9875A5}" name="3. Quartal" dataDxfId="36" totalsRowDxfId="35" dataCellStyle="Standard 3"/>
    <tableColumn id="7" xr3:uid="{9DA4C612-969B-4ECF-BB2E-46441B6988DB}" name="4. Quartal" dataDxfId="34" totalsRowDxfId="33" dataCellStyle="Standard 3"/>
    <tableColumn id="8" xr3:uid="{BB04F668-A606-4E54-A2C5-A2D1EC7352BB}" name="Summe gesammt" dataDxfId="32" totalsRowDxfId="31" dataCellStyle="Standard 3"/>
    <tableColumn id="9" xr3:uid="{37BDE88B-A250-4E9B-9162-7CE7DFF9DA5A}" name="MHD überschritten" dataDxfId="30" totalsRowDxfId="29" dataCellStyle="Standard 3"/>
    <tableColumn id="10" xr3:uid="{0D2259E9-B702-4A2E-9256-FF1B8BCB9626}" name="Präsent an Kunde" dataDxfId="28" totalsRowDxfId="27" dataCellStyle="Standard 3"/>
    <tableColumn id="11" xr3:uid="{359F3A3C-B102-4446-9942-A485FFFF438C}" name="Inventur am: 15.02.26" dataDxfId="26" totalsRowDxfId="25" dataCellStyle="Standard 3"/>
    <tableColumn id="21" xr3:uid="{4CE2B2AD-C6A3-4EF9-9316-6E0900807BAF}" name="Inventur am:" dataDxfId="24" totalsRowDxfId="23" dataCellStyle="Standard 3"/>
    <tableColumn id="12" xr3:uid="{4D37EFC4-8535-44D7-BDD3-AAD8EE4B514D}" name="Inventur am:2" dataDxfId="22" totalsRowDxfId="21" dataCellStyle="Standard 3"/>
    <tableColumn id="13" xr3:uid="{9DDB18D2-9751-4C0C-B9A9-84DEEB9BBC61}" name="Inventur am: 0#" dataDxfId="20" totalsRowDxfId="19" dataCellStyle="Standard 3"/>
    <tableColumn id="14" xr3:uid="{71771C4E-A644-43C9-A11E-21F7D093685A}" name="Summe EK" dataDxfId="18" totalsRowDxfId="17" dataCellStyle="Standard 3"/>
    <tableColumn id="15" xr3:uid="{31375EED-CBF6-442A-8BC8-19005C023B84}" name="Inventar Summe" dataDxfId="16" totalsRowDxfId="15" dataCellStyle="Standard 3"/>
    <tableColumn id="16" xr3:uid="{83910510-CFE4-4E2E-BCCB-F6248D1C0F22}" name="Summe VK" dataDxfId="14" totalsRowDxfId="13" dataCellStyle="Standard 3"/>
    <tableColumn id="22" xr3:uid="{9D24BC78-57C7-4919-8F81-662B21E0E8FB}" name="Abschreibung / MHD Überschritten" dataDxfId="12" totalsRowDxfId="11" dataCellStyle="Standard 3"/>
    <tableColumn id="17" xr3:uid="{A6E8B703-76DE-4416-9B8A-A8534B7E7EE7}" name="rel. Gewinn" dataDxfId="10" totalsRowDxfId="9" dataCellStyle="Standard 3"/>
    <tableColumn id="18" xr3:uid="{0DA22646-408D-45CE-AF01-026977BFCA1D}" name="Eigenbedarf 26" dataDxfId="8" totalsRowDxfId="7" dataCellStyle="Standard 3"/>
    <tableColumn id="20" xr3:uid="{13DC14AF-6788-4C42-95B0-45876A4881DB}" name="Abschreibung / MHD abgelaufen" dataDxfId="6" totalsRowDxfId="5" dataCellStyle="Standard 3"/>
    <tableColumn id="19" xr3:uid="{2C633F10-B661-412F-ADC7-055B3E7F0004}" name="Kosten" totalsRowFunction="sum" dataDxfId="4" totalsRowDxfId="3" dataCellStyle="Standard 3"/>
  </tableColumns>
  <tableStyleInfo name="TableStyleLight3" showFirstColumn="0" showLastColumn="0" showRowStripes="1" showColumnStripes="0"/>
</table>
</file>

<file path=xl/theme/theme1.xml><?xml version="1.0" encoding="utf-8"?>
<a:theme xmlns:a="http://schemas.openxmlformats.org/drawingml/2006/main" name="Office Theme">
  <a:themeElements>
    <a:clrScheme name="Commerical Invoice">
      <a:dk1>
        <a:sysClr val="windowText" lastClr="000000"/>
      </a:dk1>
      <a:lt1>
        <a:sysClr val="window" lastClr="FFFFFF"/>
      </a:lt1>
      <a:dk2>
        <a:srgbClr val="735223"/>
      </a:dk2>
      <a:lt2>
        <a:srgbClr val="F0F0F0"/>
      </a:lt2>
      <a:accent1>
        <a:srgbClr val="ACD175"/>
      </a:accent1>
      <a:accent2>
        <a:srgbClr val="CC9D59"/>
      </a:accent2>
      <a:accent3>
        <a:srgbClr val="32A0FF"/>
      </a:accent3>
      <a:accent4>
        <a:srgbClr val="9B9B9B"/>
      </a:accent4>
      <a:accent5>
        <a:srgbClr val="F01414"/>
      </a:accent5>
      <a:accent6>
        <a:srgbClr val="C300DC"/>
      </a:accent6>
      <a:hlink>
        <a:srgbClr val="32A0FF"/>
      </a:hlink>
      <a:folHlink>
        <a:srgbClr val="C300DC"/>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shop.afterbuy.de/Nahrungsergaenzungsmittel-L-Carnosin-Kapseln----120-Kapseln/a123410574_u11624_zeb61ef87-41fb-45a7-9e97-669a849b9bd7/" TargetMode="External"/><Relationship Id="rId4"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hyperlink" Target="mailto:info@physio-live.de" TargetMode="External"/><Relationship Id="rId4"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5.bin"/><Relationship Id="rId1" Type="http://schemas.openxmlformats.org/officeDocument/2006/relationships/hyperlink" Target="https://shop.afterbuy.de/Nahrungsergaenzungsmittel-L-Carnosin-Kapseln----120-Kapseln/a123410574_u11624_zeb61ef87-41fb-45a7-9e97-669a849b9bd7/" TargetMode="External"/><Relationship Id="rId4"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6.bin"/><Relationship Id="rId1" Type="http://schemas.openxmlformats.org/officeDocument/2006/relationships/hyperlink" Target="mailto:model@mail.test" TargetMode="External"/><Relationship Id="rId4" Type="http://schemas.openxmlformats.org/officeDocument/2006/relationships/table" Target="../tables/table4.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mailto:gewerbekunden@franz-naturversand.de"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28D2F-C095-42C8-963A-0E05DFB4441D}">
  <sheetPr codeName="Tabelle2">
    <tabColor theme="4"/>
    <pageSetUpPr autoPageBreaks="0" fitToPage="1"/>
  </sheetPr>
  <dimension ref="A1:K89"/>
  <sheetViews>
    <sheetView showFormulas="1" showGridLines="0" zoomScale="85" zoomScaleNormal="85" workbookViewId="0">
      <selection activeCell="G15" sqref="G15"/>
    </sheetView>
  </sheetViews>
  <sheetFormatPr baseColWidth="10" defaultColWidth="9.28515625" defaultRowHeight="30" customHeight="1"/>
  <cols>
    <col min="1" max="1" width="2.7109375" customWidth="1"/>
    <col min="2" max="2" width="26" customWidth="1"/>
    <col min="3" max="3" width="14.85546875" customWidth="1"/>
    <col min="4" max="4" width="10" style="65" customWidth="1"/>
    <col min="5" max="5" width="7.5703125" customWidth="1"/>
    <col min="6" max="6" width="9.85546875" style="58" customWidth="1"/>
    <col min="7" max="7" width="12.85546875" customWidth="1"/>
    <col min="8" max="8" width="25.5703125" customWidth="1"/>
    <col min="9" max="9" width="22.7109375" customWidth="1"/>
    <col min="10" max="10" width="2.7109375" customWidth="1"/>
    <col min="11" max="11" width="22.7109375" customWidth="1"/>
  </cols>
  <sheetData>
    <row r="1" spans="1:11" ht="42" customHeight="1">
      <c r="B1" s="3" t="s">
        <v>38</v>
      </c>
      <c r="K1" s="7" t="s">
        <v>13</v>
      </c>
    </row>
    <row r="2" spans="1:11" ht="30" customHeight="1">
      <c r="B2" s="27" t="s">
        <v>14</v>
      </c>
      <c r="C2" s="27" t="s">
        <v>35</v>
      </c>
      <c r="D2" s="69" t="s">
        <v>32</v>
      </c>
      <c r="E2" s="27" t="s">
        <v>31</v>
      </c>
      <c r="F2" s="59" t="s">
        <v>33</v>
      </c>
      <c r="G2" s="27" t="s">
        <v>243</v>
      </c>
      <c r="H2" t="s">
        <v>92</v>
      </c>
      <c r="I2" t="s">
        <v>37</v>
      </c>
    </row>
    <row r="3" spans="1:11" ht="15.75" customHeight="1">
      <c r="A3">
        <v>1</v>
      </c>
      <c r="B3" t="s">
        <v>166</v>
      </c>
      <c r="C3" t="s">
        <v>36</v>
      </c>
      <c r="D3" s="66">
        <v>19</v>
      </c>
      <c r="E3" s="47">
        <v>7.0000000000000007E-2</v>
      </c>
      <c r="F3" s="61">
        <v>24</v>
      </c>
      <c r="G3" s="28"/>
      <c r="H3" s="5"/>
    </row>
    <row r="4" spans="1:11" ht="15.75" customHeight="1">
      <c r="A4">
        <v>2</v>
      </c>
      <c r="B4" t="s">
        <v>132</v>
      </c>
      <c r="C4" t="s">
        <v>133</v>
      </c>
      <c r="D4" s="67">
        <v>12.04</v>
      </c>
      <c r="E4" s="47">
        <v>7.0000000000000007E-2</v>
      </c>
      <c r="F4" s="57">
        <v>14</v>
      </c>
      <c r="G4" s="28"/>
      <c r="H4" s="5"/>
    </row>
    <row r="5" spans="1:11" ht="15.75" customHeight="1">
      <c r="A5">
        <v>3</v>
      </c>
      <c r="B5" t="s">
        <v>72</v>
      </c>
      <c r="C5" t="s">
        <v>73</v>
      </c>
      <c r="D5" s="67"/>
      <c r="E5" s="47">
        <v>0.19</v>
      </c>
      <c r="F5" s="57">
        <v>6</v>
      </c>
      <c r="G5" s="28"/>
      <c r="H5" s="5"/>
    </row>
    <row r="6" spans="1:11" ht="15.75" customHeight="1">
      <c r="B6" t="s">
        <v>204</v>
      </c>
      <c r="C6" t="s">
        <v>50</v>
      </c>
      <c r="D6" s="67"/>
      <c r="E6" s="47">
        <v>0.19</v>
      </c>
      <c r="F6" s="57">
        <v>29.9</v>
      </c>
      <c r="G6" s="28"/>
      <c r="H6" s="5"/>
    </row>
    <row r="7" spans="1:11" ht="15.75" customHeight="1">
      <c r="B7" t="s">
        <v>206</v>
      </c>
      <c r="C7" t="s">
        <v>50</v>
      </c>
      <c r="D7" s="67">
        <v>40.799999999999997</v>
      </c>
      <c r="E7" s="47">
        <v>0.19</v>
      </c>
      <c r="F7" s="57">
        <v>47.8</v>
      </c>
      <c r="G7" s="28"/>
      <c r="H7" s="5"/>
    </row>
    <row r="8" spans="1:11" ht="15.75" customHeight="1">
      <c r="B8" t="s">
        <v>205</v>
      </c>
      <c r="C8" t="s">
        <v>36</v>
      </c>
      <c r="D8" s="67"/>
      <c r="E8" s="47">
        <v>0.19</v>
      </c>
      <c r="F8" s="57">
        <v>29.9</v>
      </c>
      <c r="G8" s="28"/>
      <c r="H8" s="5"/>
    </row>
    <row r="9" spans="1:11" ht="15.75" customHeight="1">
      <c r="B9" t="s">
        <v>207</v>
      </c>
      <c r="C9" t="s">
        <v>36</v>
      </c>
      <c r="D9" s="67">
        <v>39.799999999999997</v>
      </c>
      <c r="E9" s="47">
        <v>0.19</v>
      </c>
      <c r="F9" s="57">
        <v>47.8</v>
      </c>
      <c r="G9" s="28"/>
      <c r="H9" s="5"/>
    </row>
    <row r="10" spans="1:11" ht="15.75" customHeight="1">
      <c r="A10">
        <v>4</v>
      </c>
      <c r="B10" t="s">
        <v>66</v>
      </c>
      <c r="C10" t="s">
        <v>62</v>
      </c>
      <c r="D10" s="67">
        <v>16.21</v>
      </c>
      <c r="E10" s="47">
        <v>7.0000000000000007E-2</v>
      </c>
      <c r="F10" s="57">
        <v>22</v>
      </c>
      <c r="G10" s="28"/>
      <c r="H10" s="5"/>
    </row>
    <row r="11" spans="1:11" ht="15.75" customHeight="1">
      <c r="A11">
        <v>5</v>
      </c>
      <c r="B11" t="s">
        <v>69</v>
      </c>
      <c r="C11" t="s">
        <v>70</v>
      </c>
      <c r="D11" s="67">
        <v>26</v>
      </c>
      <c r="E11" s="47">
        <v>0.19</v>
      </c>
      <c r="F11" s="57">
        <v>30</v>
      </c>
      <c r="G11" s="28"/>
      <c r="H11" s="5"/>
    </row>
    <row r="12" spans="1:11" ht="15.75" customHeight="1">
      <c r="B12" t="s">
        <v>213</v>
      </c>
      <c r="C12" t="s">
        <v>214</v>
      </c>
      <c r="D12" s="67">
        <v>15</v>
      </c>
      <c r="E12" s="47">
        <v>0.19</v>
      </c>
      <c r="F12" s="57"/>
      <c r="G12" s="28"/>
      <c r="H12" s="5"/>
    </row>
    <row r="13" spans="1:11" ht="15.75" customHeight="1">
      <c r="A13">
        <v>6</v>
      </c>
      <c r="B13" t="s">
        <v>102</v>
      </c>
      <c r="C13" t="s">
        <v>103</v>
      </c>
      <c r="D13" s="67">
        <v>26.89</v>
      </c>
      <c r="E13" s="47">
        <v>0.19</v>
      </c>
      <c r="F13" s="57">
        <v>40</v>
      </c>
      <c r="G13" s="28"/>
      <c r="H13" s="5"/>
    </row>
    <row r="14" spans="1:11" ht="15.75" customHeight="1">
      <c r="B14" t="s">
        <v>215</v>
      </c>
      <c r="C14" t="s">
        <v>49</v>
      </c>
      <c r="D14" s="67">
        <v>15</v>
      </c>
      <c r="E14" s="47">
        <v>0.19</v>
      </c>
      <c r="F14" s="57"/>
      <c r="G14" s="28"/>
      <c r="H14" s="5"/>
    </row>
    <row r="15" spans="1:11" ht="15.75" customHeight="1">
      <c r="A15">
        <v>7</v>
      </c>
      <c r="B15" t="s">
        <v>98</v>
      </c>
      <c r="C15" t="s">
        <v>99</v>
      </c>
      <c r="D15" s="67">
        <v>13.91</v>
      </c>
      <c r="E15" s="62">
        <v>7.0000000000000007E-2</v>
      </c>
      <c r="F15" s="57">
        <v>17</v>
      </c>
      <c r="G15" s="28"/>
      <c r="H15" s="5"/>
    </row>
    <row r="16" spans="1:11" ht="15.75" customHeight="1">
      <c r="A16">
        <v>8</v>
      </c>
      <c r="B16" t="s">
        <v>147</v>
      </c>
      <c r="C16" t="s">
        <v>79</v>
      </c>
      <c r="D16" s="67">
        <v>20</v>
      </c>
      <c r="E16" s="62">
        <v>0.19</v>
      </c>
      <c r="F16" s="57">
        <v>28</v>
      </c>
      <c r="G16" s="28"/>
      <c r="H16" s="5"/>
    </row>
    <row r="17" spans="1:8" ht="15.75" customHeight="1">
      <c r="B17" t="s">
        <v>227</v>
      </c>
      <c r="C17" t="s">
        <v>62</v>
      </c>
      <c r="D17" s="67"/>
      <c r="E17" s="47">
        <v>7.0000000000000007E-2</v>
      </c>
      <c r="F17" s="57">
        <v>22</v>
      </c>
      <c r="G17" s="28"/>
      <c r="H17" s="5"/>
    </row>
    <row r="18" spans="1:8" ht="15.75" customHeight="1">
      <c r="A18">
        <v>9</v>
      </c>
      <c r="B18" t="s">
        <v>177</v>
      </c>
      <c r="C18" t="s">
        <v>178</v>
      </c>
      <c r="D18" s="67">
        <v>8.41</v>
      </c>
      <c r="E18" s="47">
        <v>7.0000000000000007E-2</v>
      </c>
      <c r="F18" s="60">
        <v>12</v>
      </c>
      <c r="G18" s="28"/>
      <c r="H18" s="5"/>
    </row>
    <row r="19" spans="1:8" ht="15.75" customHeight="1">
      <c r="A19">
        <v>10</v>
      </c>
      <c r="B19" t="s">
        <v>65</v>
      </c>
      <c r="C19" t="s">
        <v>178</v>
      </c>
      <c r="D19" s="67">
        <v>14.02</v>
      </c>
      <c r="E19" s="47">
        <v>7.0000000000000007E-2</v>
      </c>
      <c r="F19" s="57">
        <v>20</v>
      </c>
      <c r="G19" s="28"/>
      <c r="H19" s="5"/>
    </row>
    <row r="20" spans="1:8" ht="15.75" customHeight="1">
      <c r="A20">
        <v>11</v>
      </c>
      <c r="B20" t="s">
        <v>148</v>
      </c>
      <c r="C20" t="s">
        <v>135</v>
      </c>
      <c r="D20" s="67">
        <v>12.5</v>
      </c>
      <c r="E20" s="47">
        <v>0.19</v>
      </c>
      <c r="F20" s="57">
        <v>15</v>
      </c>
      <c r="G20" s="28"/>
      <c r="H20" s="5"/>
    </row>
    <row r="21" spans="1:8" ht="15.75" customHeight="1">
      <c r="A21">
        <v>12</v>
      </c>
      <c r="B21" t="s">
        <v>149</v>
      </c>
      <c r="C21" t="s">
        <v>101</v>
      </c>
      <c r="D21" s="67">
        <v>19</v>
      </c>
      <c r="E21" s="47">
        <v>0.19</v>
      </c>
      <c r="F21" s="57">
        <v>23</v>
      </c>
      <c r="G21" s="28"/>
      <c r="H21" s="5"/>
    </row>
    <row r="22" spans="1:8" ht="15.75" customHeight="1">
      <c r="A22">
        <v>13</v>
      </c>
      <c r="B22" t="s">
        <v>88</v>
      </c>
      <c r="C22" t="s">
        <v>75</v>
      </c>
      <c r="D22" s="67">
        <v>8.8699999999999992</v>
      </c>
      <c r="E22" s="47">
        <v>0.19</v>
      </c>
      <c r="F22" s="57">
        <v>13</v>
      </c>
      <c r="G22" s="28"/>
      <c r="H22" s="5"/>
    </row>
    <row r="23" spans="1:8" ht="15.75" customHeight="1">
      <c r="A23">
        <v>14</v>
      </c>
      <c r="B23" t="s">
        <v>67</v>
      </c>
      <c r="C23" t="s">
        <v>68</v>
      </c>
      <c r="D23" s="67">
        <v>11.7</v>
      </c>
      <c r="E23" s="47">
        <v>7.0000000000000007E-2</v>
      </c>
      <c r="F23" s="57">
        <v>16</v>
      </c>
      <c r="G23" s="28"/>
      <c r="H23" s="5"/>
    </row>
    <row r="24" spans="1:8" ht="15.75" customHeight="1">
      <c r="A24">
        <v>15</v>
      </c>
      <c r="B24" t="s">
        <v>74</v>
      </c>
      <c r="C24" t="s">
        <v>75</v>
      </c>
      <c r="D24" s="67">
        <v>10.3</v>
      </c>
      <c r="E24" s="47">
        <v>7.0000000000000007E-2</v>
      </c>
      <c r="F24" s="57">
        <v>14</v>
      </c>
      <c r="G24" s="28"/>
      <c r="H24" s="5"/>
    </row>
    <row r="25" spans="1:8" ht="15.75" customHeight="1">
      <c r="A25">
        <v>16</v>
      </c>
      <c r="B25" t="s">
        <v>167</v>
      </c>
      <c r="C25" t="s">
        <v>64</v>
      </c>
      <c r="D25" s="67">
        <v>10.3</v>
      </c>
      <c r="E25" s="47">
        <v>7.0000000000000007E-2</v>
      </c>
      <c r="F25" s="57">
        <v>14</v>
      </c>
      <c r="G25" s="28"/>
      <c r="H25" s="5"/>
    </row>
    <row r="26" spans="1:8" ht="15.75" customHeight="1">
      <c r="B26" t="s">
        <v>203</v>
      </c>
      <c r="C26" t="s">
        <v>36</v>
      </c>
      <c r="D26" s="67">
        <v>24</v>
      </c>
      <c r="E26" s="47">
        <v>7.0000000000000007E-2</v>
      </c>
      <c r="F26" s="57">
        <v>30</v>
      </c>
      <c r="G26" s="28"/>
      <c r="H26" s="5"/>
    </row>
    <row r="27" spans="1:8" ht="15.75" customHeight="1">
      <c r="B27" t="s">
        <v>229</v>
      </c>
      <c r="C27" t="s">
        <v>135</v>
      </c>
      <c r="D27" s="67"/>
      <c r="E27" s="47">
        <v>7.0000000000000007E-2</v>
      </c>
      <c r="F27" s="57">
        <v>16</v>
      </c>
      <c r="G27" s="28"/>
      <c r="H27" s="5"/>
    </row>
    <row r="28" spans="1:8" ht="15.75" customHeight="1">
      <c r="A28">
        <v>17</v>
      </c>
      <c r="B28" t="s">
        <v>126</v>
      </c>
      <c r="C28" t="s">
        <v>62</v>
      </c>
      <c r="D28" s="67"/>
      <c r="E28" s="47">
        <v>0.19</v>
      </c>
      <c r="F28" s="57">
        <v>45</v>
      </c>
      <c r="G28" s="28"/>
      <c r="H28" s="5"/>
    </row>
    <row r="29" spans="1:8" ht="15.75" customHeight="1">
      <c r="A29">
        <v>18</v>
      </c>
      <c r="B29" t="s">
        <v>44</v>
      </c>
      <c r="C29" t="s">
        <v>45</v>
      </c>
      <c r="D29" s="67">
        <v>18.53</v>
      </c>
      <c r="E29" s="47">
        <v>7.0000000000000007E-2</v>
      </c>
      <c r="F29" s="57">
        <v>24</v>
      </c>
      <c r="G29" s="28"/>
      <c r="H29" s="5"/>
    </row>
    <row r="30" spans="1:8" ht="15.75" customHeight="1">
      <c r="A30">
        <v>19</v>
      </c>
      <c r="B30" t="s">
        <v>78</v>
      </c>
      <c r="C30" t="s">
        <v>79</v>
      </c>
      <c r="D30" s="67">
        <v>17</v>
      </c>
      <c r="E30" s="47">
        <v>0.19</v>
      </c>
      <c r="F30" s="57">
        <v>22</v>
      </c>
      <c r="G30" s="28"/>
      <c r="H30" s="5"/>
    </row>
    <row r="31" spans="1:8" ht="15.75" customHeight="1">
      <c r="A31">
        <v>20</v>
      </c>
      <c r="B31" t="s">
        <v>139</v>
      </c>
      <c r="C31" t="s">
        <v>70</v>
      </c>
      <c r="D31" s="67">
        <v>49.9</v>
      </c>
      <c r="E31" s="56">
        <v>7.0000000000000007E-2</v>
      </c>
      <c r="F31" s="57">
        <v>60</v>
      </c>
      <c r="G31" s="28"/>
      <c r="H31" s="5"/>
    </row>
    <row r="32" spans="1:8" ht="15.75" customHeight="1">
      <c r="A32">
        <v>21</v>
      </c>
      <c r="B32" t="s">
        <v>80</v>
      </c>
      <c r="C32" t="s">
        <v>79</v>
      </c>
      <c r="D32" s="67">
        <v>18</v>
      </c>
      <c r="E32" s="62">
        <v>0.19</v>
      </c>
      <c r="F32" s="57">
        <v>23</v>
      </c>
      <c r="G32" s="28"/>
      <c r="H32" s="5"/>
    </row>
    <row r="33" spans="1:8" ht="15.75" customHeight="1">
      <c r="A33">
        <v>22</v>
      </c>
      <c r="B33" t="s">
        <v>130</v>
      </c>
      <c r="C33" t="s">
        <v>47</v>
      </c>
      <c r="D33" s="67">
        <v>8.32</v>
      </c>
      <c r="E33" s="47">
        <v>0.19</v>
      </c>
      <c r="F33" s="57">
        <v>13</v>
      </c>
      <c r="G33" s="28"/>
      <c r="H33" s="5"/>
    </row>
    <row r="34" spans="1:8" ht="15.75" customHeight="1">
      <c r="A34">
        <v>23</v>
      </c>
      <c r="B34" t="s">
        <v>198</v>
      </c>
      <c r="C34" t="s">
        <v>101</v>
      </c>
      <c r="D34" s="67">
        <v>14.2</v>
      </c>
      <c r="E34" s="63">
        <v>7.0000000000000007E-2</v>
      </c>
      <c r="F34" s="57">
        <v>16.5</v>
      </c>
      <c r="G34" s="28"/>
      <c r="H34" s="5"/>
    </row>
    <row r="35" spans="1:8" ht="15.75" customHeight="1">
      <c r="A35">
        <v>24</v>
      </c>
      <c r="B35" t="s">
        <v>199</v>
      </c>
      <c r="C35" t="s">
        <v>159</v>
      </c>
      <c r="D35" s="67">
        <v>8.5</v>
      </c>
      <c r="E35" s="47">
        <v>0.19</v>
      </c>
      <c r="F35" s="57">
        <v>10.5</v>
      </c>
      <c r="G35" s="28"/>
      <c r="H35" s="5"/>
    </row>
    <row r="36" spans="1:8" ht="15.75" customHeight="1">
      <c r="A36">
        <v>25</v>
      </c>
      <c r="B36" t="s">
        <v>58</v>
      </c>
      <c r="C36" t="s">
        <v>59</v>
      </c>
      <c r="D36" s="67">
        <v>17.28</v>
      </c>
      <c r="E36" s="47">
        <v>7.0000000000000007E-2</v>
      </c>
      <c r="F36" s="57">
        <v>22</v>
      </c>
      <c r="G36" s="28"/>
      <c r="H36" s="5"/>
    </row>
    <row r="37" spans="1:8" ht="15.75" customHeight="1">
      <c r="A37">
        <v>26</v>
      </c>
      <c r="B37" t="s">
        <v>82</v>
      </c>
      <c r="C37" t="s">
        <v>83</v>
      </c>
      <c r="D37" s="67">
        <v>21.78</v>
      </c>
      <c r="E37" s="47">
        <v>7.0000000000000007E-2</v>
      </c>
      <c r="F37" s="57">
        <v>26</v>
      </c>
      <c r="G37" s="28"/>
      <c r="H37" s="5"/>
    </row>
    <row r="38" spans="1:8" ht="15.75" customHeight="1">
      <c r="A38">
        <v>27</v>
      </c>
      <c r="B38" s="51" t="s">
        <v>116</v>
      </c>
      <c r="C38" t="s">
        <v>62</v>
      </c>
      <c r="D38" s="67">
        <v>26.22</v>
      </c>
      <c r="E38" s="62">
        <v>7.0000000000000007E-2</v>
      </c>
      <c r="F38" s="57">
        <v>32</v>
      </c>
      <c r="G38" s="28"/>
      <c r="H38" s="5"/>
    </row>
    <row r="39" spans="1:8" ht="15.75" customHeight="1">
      <c r="B39" t="s">
        <v>201</v>
      </c>
      <c r="C39" t="s">
        <v>59</v>
      </c>
      <c r="D39" s="67">
        <v>20</v>
      </c>
      <c r="E39" s="47">
        <v>7.0000000000000007E-2</v>
      </c>
      <c r="F39" s="57">
        <v>27</v>
      </c>
      <c r="G39" s="28"/>
      <c r="H39" s="5"/>
    </row>
    <row r="40" spans="1:8" ht="15.75" customHeight="1">
      <c r="A40">
        <v>28</v>
      </c>
      <c r="B40" t="s">
        <v>39</v>
      </c>
      <c r="C40" t="s">
        <v>40</v>
      </c>
      <c r="D40" s="67">
        <v>10</v>
      </c>
      <c r="E40" s="47">
        <v>0.19</v>
      </c>
      <c r="F40" s="57">
        <v>15</v>
      </c>
      <c r="G40" s="28"/>
      <c r="H40" s="5"/>
    </row>
    <row r="41" spans="1:8" ht="15.75" customHeight="1">
      <c r="A41">
        <v>29</v>
      </c>
      <c r="B41" t="s">
        <v>112</v>
      </c>
      <c r="C41" t="s">
        <v>111</v>
      </c>
      <c r="D41" s="67"/>
      <c r="E41" s="62">
        <v>0.19</v>
      </c>
      <c r="F41" s="57">
        <v>4</v>
      </c>
      <c r="G41" s="28"/>
      <c r="H41" s="5"/>
    </row>
    <row r="42" spans="1:8" ht="15.75" customHeight="1">
      <c r="A42">
        <v>30</v>
      </c>
      <c r="B42" t="s">
        <v>56</v>
      </c>
      <c r="C42" t="s">
        <v>57</v>
      </c>
      <c r="D42" s="67">
        <v>19.8</v>
      </c>
      <c r="E42" s="47">
        <v>7.0000000000000007E-2</v>
      </c>
      <c r="F42" s="57">
        <v>25</v>
      </c>
      <c r="G42" s="28"/>
      <c r="H42" s="5"/>
    </row>
    <row r="43" spans="1:8" ht="15.75" customHeight="1">
      <c r="B43" t="s">
        <v>194</v>
      </c>
      <c r="C43" t="s">
        <v>202</v>
      </c>
      <c r="D43" s="67">
        <v>12.35</v>
      </c>
      <c r="E43" s="47"/>
      <c r="F43" s="57">
        <v>18</v>
      </c>
      <c r="G43" s="28"/>
      <c r="H43" s="5"/>
    </row>
    <row r="44" spans="1:8" ht="15.75" customHeight="1">
      <c r="A44">
        <v>31</v>
      </c>
      <c r="B44" t="s">
        <v>114</v>
      </c>
      <c r="C44" t="s">
        <v>115</v>
      </c>
      <c r="D44" s="67">
        <v>17</v>
      </c>
      <c r="E44" s="47">
        <v>7.0000000000000007E-2</v>
      </c>
      <c r="F44" s="57">
        <v>23</v>
      </c>
      <c r="G44" s="28"/>
      <c r="H44" s="5"/>
    </row>
    <row r="45" spans="1:8" ht="15.75" customHeight="1">
      <c r="A45">
        <v>32</v>
      </c>
      <c r="B45" t="s">
        <v>87</v>
      </c>
      <c r="C45" t="s">
        <v>36</v>
      </c>
      <c r="D45" s="67">
        <v>37</v>
      </c>
      <c r="E45" s="47">
        <v>7.0000000000000007E-2</v>
      </c>
      <c r="F45" s="57">
        <v>40</v>
      </c>
      <c r="G45" s="28"/>
      <c r="H45" s="5"/>
    </row>
    <row r="46" spans="1:8" ht="15.75" customHeight="1">
      <c r="A46">
        <v>33</v>
      </c>
      <c r="B46" t="s">
        <v>63</v>
      </c>
      <c r="C46" t="s">
        <v>64</v>
      </c>
      <c r="D46" s="67">
        <v>16.100000000000001</v>
      </c>
      <c r="E46" s="47">
        <v>7.0000000000000007E-2</v>
      </c>
      <c r="F46" s="57">
        <v>22</v>
      </c>
      <c r="G46" s="28"/>
      <c r="H46" s="5"/>
    </row>
    <row r="47" spans="1:8" ht="15.75" customHeight="1">
      <c r="A47">
        <v>34</v>
      </c>
      <c r="B47" t="s">
        <v>212</v>
      </c>
      <c r="C47" t="s">
        <v>79</v>
      </c>
      <c r="D47" s="67">
        <v>17.39</v>
      </c>
      <c r="E47" s="47">
        <v>0.19</v>
      </c>
      <c r="F47" s="57">
        <v>26</v>
      </c>
      <c r="G47" s="28"/>
      <c r="H47" s="5"/>
    </row>
    <row r="48" spans="1:8" ht="15.75" customHeight="1">
      <c r="B48" t="s">
        <v>211</v>
      </c>
      <c r="C48" t="s">
        <v>49</v>
      </c>
      <c r="D48" s="67">
        <v>80</v>
      </c>
      <c r="E48" s="47">
        <v>0.19</v>
      </c>
      <c r="F48" s="57">
        <v>105</v>
      </c>
      <c r="G48" s="28"/>
      <c r="H48" s="5"/>
    </row>
    <row r="49" spans="1:8" ht="15.75" customHeight="1">
      <c r="A49">
        <v>35</v>
      </c>
      <c r="B49" t="s">
        <v>216</v>
      </c>
      <c r="C49" t="s">
        <v>36</v>
      </c>
      <c r="D49" s="67">
        <v>12.5</v>
      </c>
      <c r="E49" s="47">
        <v>7.0000000000000007E-2</v>
      </c>
      <c r="F49" s="57">
        <v>19</v>
      </c>
      <c r="G49" s="28"/>
      <c r="H49" s="5"/>
    </row>
    <row r="50" spans="1:8" ht="15.75" customHeight="1">
      <c r="A50">
        <v>36</v>
      </c>
      <c r="B50" t="s">
        <v>184</v>
      </c>
      <c r="C50" t="s">
        <v>36</v>
      </c>
      <c r="D50" s="67">
        <v>18</v>
      </c>
      <c r="E50" s="47">
        <v>7.0000000000000007E-2</v>
      </c>
      <c r="F50" s="57">
        <v>25</v>
      </c>
      <c r="G50" s="28"/>
      <c r="H50" s="5"/>
    </row>
    <row r="51" spans="1:8" ht="15.75" customHeight="1">
      <c r="A51">
        <v>37</v>
      </c>
      <c r="B51" t="s">
        <v>165</v>
      </c>
      <c r="C51" t="s">
        <v>36</v>
      </c>
      <c r="D51" s="68">
        <v>15.38</v>
      </c>
      <c r="E51" s="48">
        <v>7.0000000000000007E-2</v>
      </c>
      <c r="F51" s="60">
        <v>25</v>
      </c>
      <c r="G51" s="28"/>
      <c r="H51" s="5"/>
    </row>
    <row r="52" spans="1:8" ht="15.75" customHeight="1">
      <c r="A52">
        <v>38</v>
      </c>
      <c r="B52" t="s">
        <v>138</v>
      </c>
      <c r="C52" t="s">
        <v>113</v>
      </c>
      <c r="D52" s="67"/>
      <c r="E52" s="48">
        <v>7.0000000000000007E-2</v>
      </c>
      <c r="F52" s="60">
        <v>25</v>
      </c>
      <c r="G52" s="28"/>
      <c r="H52" s="5"/>
    </row>
    <row r="53" spans="1:8" ht="15.75" customHeight="1">
      <c r="A53">
        <v>39</v>
      </c>
      <c r="B53" t="s">
        <v>109</v>
      </c>
      <c r="C53" t="s">
        <v>113</v>
      </c>
      <c r="D53" s="67"/>
      <c r="E53" s="48">
        <v>7.0000000000000007E-2</v>
      </c>
      <c r="F53" s="60">
        <v>10</v>
      </c>
      <c r="G53" s="28"/>
      <c r="H53" s="5"/>
    </row>
    <row r="54" spans="1:8" ht="15.75" customHeight="1">
      <c r="A54">
        <v>40</v>
      </c>
      <c r="B54" t="s">
        <v>108</v>
      </c>
      <c r="C54" t="s">
        <v>36</v>
      </c>
      <c r="D54" s="67">
        <v>12.79</v>
      </c>
      <c r="E54" s="62">
        <v>7.0000000000000007E-2</v>
      </c>
      <c r="F54" s="57">
        <v>16</v>
      </c>
      <c r="G54" s="28"/>
      <c r="H54" s="5"/>
    </row>
    <row r="55" spans="1:8" ht="15.75" customHeight="1">
      <c r="A55">
        <v>41</v>
      </c>
      <c r="B55" t="s">
        <v>84</v>
      </c>
      <c r="C55" t="s">
        <v>62</v>
      </c>
      <c r="D55" s="67">
        <v>21.75</v>
      </c>
      <c r="E55" s="47">
        <v>7.0000000000000007E-2</v>
      </c>
      <c r="F55" s="57">
        <v>29</v>
      </c>
      <c r="G55" s="28"/>
      <c r="H55" s="5"/>
    </row>
    <row r="56" spans="1:8" ht="15.75" customHeight="1">
      <c r="A56">
        <v>42</v>
      </c>
      <c r="B56" t="s">
        <v>153</v>
      </c>
      <c r="C56" t="s">
        <v>36</v>
      </c>
      <c r="D56" s="67">
        <v>20</v>
      </c>
      <c r="E56" s="47">
        <v>7.0000000000000007E-2</v>
      </c>
      <c r="F56" s="57">
        <v>25</v>
      </c>
      <c r="G56" s="28"/>
      <c r="H56" s="5"/>
    </row>
    <row r="57" spans="1:8" ht="15.75" customHeight="1">
      <c r="A57">
        <v>43</v>
      </c>
      <c r="B57" t="s">
        <v>140</v>
      </c>
      <c r="C57" t="s">
        <v>79</v>
      </c>
      <c r="D57" s="67">
        <v>11.05</v>
      </c>
      <c r="E57" s="47">
        <v>7.0000000000000007E-2</v>
      </c>
      <c r="F57" s="57">
        <v>15</v>
      </c>
      <c r="G57" s="28"/>
      <c r="H57" s="5"/>
    </row>
    <row r="58" spans="1:8" ht="15.75" customHeight="1">
      <c r="A58">
        <v>44</v>
      </c>
      <c r="B58" t="s">
        <v>107</v>
      </c>
      <c r="C58" t="s">
        <v>68</v>
      </c>
      <c r="D58" s="67">
        <v>12.6</v>
      </c>
      <c r="E58" s="62">
        <v>7.0000000000000007E-2</v>
      </c>
      <c r="F58" s="57">
        <v>17</v>
      </c>
      <c r="G58" s="28"/>
      <c r="H58" s="5"/>
    </row>
    <row r="59" spans="1:8" ht="15.75" customHeight="1">
      <c r="A59">
        <v>45</v>
      </c>
      <c r="B59" t="s">
        <v>131</v>
      </c>
      <c r="C59" t="s">
        <v>134</v>
      </c>
      <c r="D59" s="67">
        <v>12.67</v>
      </c>
      <c r="E59" s="47">
        <v>0.19</v>
      </c>
      <c r="F59" s="57">
        <v>17</v>
      </c>
      <c r="G59" s="28"/>
      <c r="H59" s="5"/>
    </row>
    <row r="60" spans="1:8" ht="15.75" customHeight="1">
      <c r="A60">
        <v>46</v>
      </c>
      <c r="B60" t="s">
        <v>143</v>
      </c>
      <c r="C60" t="s">
        <v>113</v>
      </c>
      <c r="D60" s="67"/>
      <c r="E60" s="47">
        <v>0.19</v>
      </c>
      <c r="F60" s="57">
        <v>8</v>
      </c>
      <c r="G60" s="28"/>
      <c r="H60" s="5"/>
    </row>
    <row r="61" spans="1:8" ht="15.75" customHeight="1">
      <c r="A61">
        <v>47</v>
      </c>
      <c r="B61" t="s">
        <v>137</v>
      </c>
      <c r="C61" t="s">
        <v>113</v>
      </c>
      <c r="D61" s="67"/>
      <c r="E61" s="47">
        <v>0.19</v>
      </c>
      <c r="F61" s="57">
        <v>5</v>
      </c>
      <c r="G61" s="28"/>
      <c r="H61" s="5"/>
    </row>
    <row r="62" spans="1:8" ht="15.75" customHeight="1">
      <c r="A62">
        <v>48</v>
      </c>
      <c r="B62" t="s">
        <v>51</v>
      </c>
      <c r="C62" t="s">
        <v>49</v>
      </c>
      <c r="D62" s="67"/>
      <c r="E62" s="47">
        <v>0.19</v>
      </c>
      <c r="F62" s="57">
        <v>16</v>
      </c>
      <c r="G62" s="28"/>
      <c r="H62" s="5"/>
    </row>
    <row r="63" spans="1:8" ht="15.75" customHeight="1">
      <c r="A63">
        <v>49</v>
      </c>
      <c r="B63" t="s">
        <v>52</v>
      </c>
      <c r="C63" t="s">
        <v>50</v>
      </c>
      <c r="D63" s="67"/>
      <c r="E63" s="47">
        <v>0.19</v>
      </c>
      <c r="F63" s="57">
        <v>30</v>
      </c>
      <c r="G63" s="28"/>
      <c r="H63" s="5"/>
    </row>
    <row r="64" spans="1:8" ht="15.75" customHeight="1">
      <c r="A64">
        <v>50</v>
      </c>
      <c r="B64" t="s">
        <v>77</v>
      </c>
      <c r="C64" t="s">
        <v>64</v>
      </c>
      <c r="D64" s="67">
        <v>19</v>
      </c>
      <c r="E64" s="47">
        <v>7.0000000000000007E-2</v>
      </c>
      <c r="F64" s="57">
        <v>26</v>
      </c>
      <c r="G64" s="28"/>
      <c r="H64" s="5"/>
    </row>
    <row r="65" spans="1:8" ht="15.75" customHeight="1">
      <c r="A65">
        <v>51</v>
      </c>
      <c r="B65" t="s">
        <v>210</v>
      </c>
      <c r="C65" t="s">
        <v>73</v>
      </c>
      <c r="D65" s="67">
        <v>11.65</v>
      </c>
      <c r="E65" s="47">
        <v>0.19</v>
      </c>
      <c r="F65" s="57">
        <v>16</v>
      </c>
      <c r="G65" s="28"/>
      <c r="H65" s="5"/>
    </row>
    <row r="66" spans="1:8" ht="15.75" customHeight="1">
      <c r="A66">
        <v>52</v>
      </c>
      <c r="B66" t="s">
        <v>81</v>
      </c>
      <c r="C66" t="s">
        <v>59</v>
      </c>
      <c r="D66" s="67">
        <v>16</v>
      </c>
      <c r="E66" s="47">
        <v>7.0000000000000007E-2</v>
      </c>
      <c r="F66" s="57">
        <v>20</v>
      </c>
      <c r="G66" s="28"/>
      <c r="H66" s="5"/>
    </row>
    <row r="67" spans="1:8" ht="15.75" customHeight="1">
      <c r="A67">
        <v>53</v>
      </c>
      <c r="B67" t="s">
        <v>61</v>
      </c>
      <c r="C67" t="s">
        <v>62</v>
      </c>
      <c r="D67" s="67">
        <v>14.25</v>
      </c>
      <c r="E67" s="47">
        <v>7.0000000000000007E-2</v>
      </c>
      <c r="F67" s="57">
        <v>19</v>
      </c>
      <c r="G67" s="28"/>
      <c r="H67" s="5"/>
    </row>
    <row r="68" spans="1:8" ht="15.75" customHeight="1">
      <c r="A68">
        <v>54</v>
      </c>
      <c r="B68" t="s">
        <v>55</v>
      </c>
      <c r="C68" t="s">
        <v>43</v>
      </c>
      <c r="D68" s="67">
        <v>11</v>
      </c>
      <c r="E68" s="47">
        <v>7.0000000000000007E-2</v>
      </c>
      <c r="F68" s="57">
        <v>16</v>
      </c>
      <c r="G68" s="28"/>
      <c r="H68" s="5"/>
    </row>
    <row r="69" spans="1:8" ht="15.75" customHeight="1">
      <c r="A69">
        <v>55</v>
      </c>
      <c r="B69" t="s">
        <v>46</v>
      </c>
      <c r="C69" t="s">
        <v>47</v>
      </c>
      <c r="D69" s="67">
        <v>17.760000000000002</v>
      </c>
      <c r="E69" s="47">
        <v>7.0000000000000007E-2</v>
      </c>
      <c r="F69" s="57">
        <v>24</v>
      </c>
      <c r="G69" s="28"/>
      <c r="H69" s="5"/>
    </row>
    <row r="70" spans="1:8" ht="15.75" customHeight="1">
      <c r="A70">
        <v>56</v>
      </c>
      <c r="B70" t="s">
        <v>100</v>
      </c>
      <c r="C70" t="s">
        <v>60</v>
      </c>
      <c r="D70" s="67">
        <v>14</v>
      </c>
      <c r="E70" s="47">
        <v>7.0000000000000007E-2</v>
      </c>
      <c r="F70" s="57">
        <v>18</v>
      </c>
      <c r="G70" s="28"/>
      <c r="H70" s="5"/>
    </row>
    <row r="71" spans="1:8" ht="15.75" customHeight="1">
      <c r="A71">
        <v>57</v>
      </c>
      <c r="B71" t="s">
        <v>91</v>
      </c>
      <c r="C71" t="s">
        <v>68</v>
      </c>
      <c r="D71" s="67">
        <v>15</v>
      </c>
      <c r="E71" s="47">
        <v>7.0000000000000007E-2</v>
      </c>
      <c r="F71" s="57">
        <v>20</v>
      </c>
      <c r="G71" s="28"/>
      <c r="H71" s="5"/>
    </row>
    <row r="72" spans="1:8" ht="15.75" customHeight="1">
      <c r="A72">
        <v>58</v>
      </c>
      <c r="B72" t="s">
        <v>27</v>
      </c>
      <c r="C72" t="s">
        <v>42</v>
      </c>
      <c r="D72" s="67">
        <v>14.75</v>
      </c>
      <c r="E72" s="47">
        <v>7.0000000000000007E-2</v>
      </c>
      <c r="F72" s="57">
        <v>19</v>
      </c>
      <c r="G72" s="28"/>
      <c r="H72" s="5"/>
    </row>
    <row r="73" spans="1:8" ht="15.75" customHeight="1">
      <c r="A73">
        <v>59</v>
      </c>
      <c r="B73" t="s">
        <v>120</v>
      </c>
      <c r="C73" t="s">
        <v>59</v>
      </c>
      <c r="D73" s="67">
        <v>18</v>
      </c>
      <c r="E73" s="47">
        <v>7.0000000000000007E-2</v>
      </c>
      <c r="F73" s="57">
        <v>25</v>
      </c>
      <c r="G73" s="28"/>
      <c r="H73" s="5"/>
    </row>
    <row r="74" spans="1:8" ht="15.75" customHeight="1">
      <c r="A74">
        <v>60</v>
      </c>
      <c r="B74" t="s">
        <v>28</v>
      </c>
      <c r="C74" t="s">
        <v>41</v>
      </c>
      <c r="D74" s="67">
        <v>22.68</v>
      </c>
      <c r="E74" s="47">
        <v>7.0000000000000007E-2</v>
      </c>
      <c r="F74" s="57">
        <v>28</v>
      </c>
      <c r="G74" s="28"/>
      <c r="H74" s="5"/>
    </row>
    <row r="75" spans="1:8" ht="15.75" customHeight="1">
      <c r="A75">
        <v>61</v>
      </c>
      <c r="B75" t="s">
        <v>154</v>
      </c>
      <c r="C75" t="s">
        <v>36</v>
      </c>
      <c r="D75" s="67">
        <v>17.82</v>
      </c>
      <c r="E75" s="47">
        <v>7.0000000000000007E-2</v>
      </c>
      <c r="F75" s="57">
        <v>21</v>
      </c>
      <c r="G75" s="28"/>
      <c r="H75" s="5"/>
    </row>
    <row r="76" spans="1:8" ht="15.75" customHeight="1">
      <c r="B76" t="s">
        <v>219</v>
      </c>
      <c r="C76" t="s">
        <v>79</v>
      </c>
      <c r="D76" s="67"/>
      <c r="E76" s="47">
        <v>0.19</v>
      </c>
      <c r="F76" s="57">
        <v>13</v>
      </c>
      <c r="G76" s="28"/>
      <c r="H76" s="5"/>
    </row>
    <row r="77" spans="1:8" ht="15.75" customHeight="1">
      <c r="A77">
        <v>62</v>
      </c>
      <c r="B77" t="s">
        <v>110</v>
      </c>
      <c r="C77" t="s">
        <v>68</v>
      </c>
      <c r="D77" s="67">
        <v>11.7</v>
      </c>
      <c r="E77" s="62">
        <v>0.19</v>
      </c>
      <c r="F77" s="57">
        <v>16</v>
      </c>
      <c r="G77" s="28"/>
      <c r="H77" s="64" t="s">
        <v>218</v>
      </c>
    </row>
    <row r="78" spans="1:8" ht="15.75" customHeight="1">
      <c r="B78" t="s">
        <v>228</v>
      </c>
      <c r="C78" t="s">
        <v>79</v>
      </c>
      <c r="D78" s="67"/>
      <c r="E78" s="47">
        <v>7.0000000000000007E-2</v>
      </c>
      <c r="F78" s="57">
        <v>19</v>
      </c>
      <c r="G78" s="28"/>
      <c r="H78" s="5"/>
    </row>
    <row r="79" spans="1:8" ht="15.75" customHeight="1">
      <c r="B79" t="s">
        <v>208</v>
      </c>
      <c r="C79" t="s">
        <v>209</v>
      </c>
      <c r="D79" s="67">
        <v>12</v>
      </c>
      <c r="E79" s="47">
        <v>0.19</v>
      </c>
      <c r="F79" s="57">
        <v>21</v>
      </c>
      <c r="G79" s="28"/>
      <c r="H79" s="50"/>
    </row>
    <row r="80" spans="1:8" ht="15.75" customHeight="1">
      <c r="D80" s="67"/>
      <c r="E80" s="47"/>
      <c r="F80" s="57"/>
      <c r="G80" s="28"/>
      <c r="H80" s="5"/>
    </row>
    <row r="81" spans="2:9" ht="15.75" customHeight="1">
      <c r="B81" t="s">
        <v>125</v>
      </c>
      <c r="C81">
        <v>1</v>
      </c>
      <c r="D81" s="67"/>
      <c r="E81" s="47">
        <v>0.19</v>
      </c>
      <c r="F81" s="57">
        <v>8</v>
      </c>
      <c r="G81" s="28"/>
      <c r="H81" s="5"/>
    </row>
    <row r="82" spans="2:9" ht="35.25" customHeight="1">
      <c r="B82" t="s">
        <v>71</v>
      </c>
      <c r="C82" t="s">
        <v>220</v>
      </c>
      <c r="D82" s="67"/>
      <c r="E82" s="47">
        <v>7.0000000000000007E-2</v>
      </c>
      <c r="F82" s="57">
        <v>108</v>
      </c>
      <c r="G82" s="28"/>
      <c r="H82" s="5"/>
    </row>
    <row r="83" spans="2:9" ht="15.75" customHeight="1">
      <c r="B83" t="s">
        <v>183</v>
      </c>
      <c r="C83" t="s">
        <v>111</v>
      </c>
      <c r="D83" s="67"/>
      <c r="E83" s="47">
        <v>0.19</v>
      </c>
      <c r="F83" s="57">
        <v>5.99</v>
      </c>
      <c r="G83" s="28"/>
      <c r="H83" s="5"/>
    </row>
    <row r="84" spans="2:9" ht="15.75" customHeight="1">
      <c r="B84" t="s">
        <v>5</v>
      </c>
      <c r="C84" t="s">
        <v>111</v>
      </c>
      <c r="D84" s="67"/>
      <c r="E84" s="47"/>
      <c r="F84" s="57">
        <v>-20</v>
      </c>
      <c r="G84" s="28"/>
      <c r="H84" s="5"/>
    </row>
    <row r="85" spans="2:9" ht="15.75" customHeight="1"/>
    <row r="86" spans="2:9" ht="15.75" customHeight="1">
      <c r="B86" t="s">
        <v>168</v>
      </c>
      <c r="C86" t="s">
        <v>169</v>
      </c>
      <c r="F86" s="58">
        <v>27.95</v>
      </c>
      <c r="H86" t="s">
        <v>170</v>
      </c>
      <c r="I86" t="s">
        <v>171</v>
      </c>
    </row>
    <row r="89" spans="2:9" ht="30" customHeight="1">
      <c r="G89" t="s">
        <v>53</v>
      </c>
      <c r="H89" s="207" t="s">
        <v>54</v>
      </c>
      <c r="I89" s="207"/>
    </row>
  </sheetData>
  <sheetProtection formatCells="0" formatColumns="0" formatRows="0" insertColumns="0" insertRows="0" insertHyperlinks="0" deleteColumns="0" deleteRows="0" selectLockedCells="1" sort="0" autoFilter="0" pivotTables="0"/>
  <mergeCells count="1">
    <mergeCell ref="H89:I89"/>
  </mergeCells>
  <dataValidations count="10">
    <dataValidation allowBlank="1" showInputMessage="1" showErrorMessage="1" prompt="Geben Sie in dieser Spalte unter dieser Überschrift den Firmennamen ein. Verwenden Sie Überschriftsfilter, um bestimmte Einträge zu finden." sqref="B2:B3" xr:uid="{158FE304-585C-469D-AD75-0ECFDC2C04C0}"/>
    <dataValidation allowBlank="1" showInputMessage="1" showErrorMessage="1" prompt="Geben Sie in dieser Spalte unter dieser Überschrift den Namen des Kontakts ein." sqref="C2:C3" xr:uid="{A662F354-4318-4CCA-A9F2-1C7760DA2074}"/>
    <dataValidation allowBlank="1" showInputMessage="1" showErrorMessage="1" prompt="Geben Sie in dieser Spalte unter dieser Überschrift die Adresse ein." sqref="D2:D3" xr:uid="{B32980F7-8088-4ACA-8BC3-268DBE0879CF}"/>
    <dataValidation allowBlank="1" showInputMessage="1" showErrorMessage="1" prompt="Geben Sie in dieser Spalte unter dieser Überschrift die Postleitzahl ein." sqref="F2:F3" xr:uid="{6DE8236F-6018-4342-BB64-CCE55C4D1616}"/>
    <dataValidation allowBlank="1" showInputMessage="1" showErrorMessage="1" prompt="Geben Sie in dieser Spalte unter dieser Überschrift die Telefonnummer ein." sqref="G2:G3" xr:uid="{51B8BFDE-184F-4B19-8CA2-93030FE436CF}"/>
    <dataValidation allowBlank="1" showInputMessage="1" showErrorMessage="1" prompt="Geben Sie in dieser Spalte unter dieser Überschrift die E-Mail-Adresse ein." sqref="H2:H3" xr:uid="{080BC712-3D37-4B95-95E3-05210ECF0E71}"/>
    <dataValidation allowBlank="1" showInputMessage="1" showErrorMessage="1" prompt="Geben Sie in dieser Arbeitsmappe Kundendetails ein. Die eingegebenen Kundeninformationen werden auf dem Arbeitsblatt &quot;Handelsrechnung&quot; verwendet. Wählen Sie Zelle M1 aus, um zum Arbeitsblatt &quot;Handelsrechnung&quot; zu navigieren." sqref="A1" xr:uid="{AA1BBE6F-96CE-49BD-B999-46C3BCA2A254}"/>
    <dataValidation allowBlank="1" showInputMessage="1" showErrorMessage="1" prompt="Der Titel dieses Arbeitsblatts befindet sich in dieser Zelle." sqref="B1" xr:uid="{FC7CCB97-5A3C-425D-97DE-E505682786FD}"/>
    <dataValidation allowBlank="1" showInputMessage="1" showErrorMessage="1" prompt="Geben Sie in dieser Spalte unter dieser Überschrift den Ort ein." sqref="E2" xr:uid="{30FB6056-283A-4403-8187-9722E66F3345}"/>
    <dataValidation allowBlank="1" showInputMessage="1" showErrorMessage="1" prompt="Navigationslink zum Arbeitsblatt &quot;Handelsrechnung&quot; Diese Zelle wird nicht gedruckt." sqref="K1" xr:uid="{C01D4F99-0943-41AD-8BAF-08DA264A049D}"/>
  </dataValidations>
  <hyperlinks>
    <hyperlink ref="K1" location="Handelsrechnung!A1" tooltip="Auswählen, um zum Arbeitsblatt &quot;Handelsrechnung&quot; zu navigieren" display="Handelsrechnung" xr:uid="{01068B3F-78EC-4018-8B9F-2D626958B1F9}"/>
    <hyperlink ref="B38" r:id="rId1" display="https://shop.afterbuy.de/Nahrungsergaenzungsmittel-L-Carnosin-Kapseln----120-Kapseln/a123410574_u11624_zeb61ef87-41fb-45a7-9e97-669a849b9bd7/" xr:uid="{4EC21CBE-0659-442B-B1D8-D058801DBAE6}"/>
  </hyperlinks>
  <printOptions horizontalCentered="1"/>
  <pageMargins left="0.25" right="0.25" top="0.75" bottom="0.75" header="0.3" footer="0.3"/>
  <pageSetup paperSize="9" fitToHeight="0" orientation="landscape" r:id="rId2"/>
  <headerFooter differentFirst="1">
    <oddFooter>Page &amp;P of &amp;N</oddFooter>
  </headerFooter>
  <drawing r:id="rId3"/>
  <tableParts count="1">
    <tablePart r:id="rId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22D68-70BA-44F1-8510-0B61182E2A75}">
  <sheetPr codeName="Tabelle1"/>
  <dimension ref="A1:D3"/>
  <sheetViews>
    <sheetView workbookViewId="0">
      <selection activeCell="D10" sqref="D10"/>
    </sheetView>
  </sheetViews>
  <sheetFormatPr baseColWidth="10" defaultRowHeight="15"/>
  <cols>
    <col min="1" max="1" width="11.42578125" style="49"/>
    <col min="2" max="2" width="57.28515625" customWidth="1"/>
    <col min="4" max="4" width="68.5703125" customWidth="1"/>
  </cols>
  <sheetData>
    <row r="1" spans="1:4" s="49" customFormat="1">
      <c r="B1" s="49" t="s">
        <v>92</v>
      </c>
      <c r="D1" s="49" t="s">
        <v>260</v>
      </c>
    </row>
    <row r="2" spans="1:4" ht="45">
      <c r="A2" s="49" t="s">
        <v>257</v>
      </c>
      <c r="B2" t="s">
        <v>258</v>
      </c>
      <c r="D2" t="s">
        <v>259</v>
      </c>
    </row>
    <row r="3" spans="1:4">
      <c r="D3" t="s">
        <v>261</v>
      </c>
    </row>
  </sheetData>
  <pageMargins left="0.7" right="0.7" top="0.78740157499999996" bottom="0.78740157499999996"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330FB-1E24-477D-9ACD-4C3784EFEA01}">
  <sheetPr codeName="Tabelle4"/>
  <dimension ref="A1:E63"/>
  <sheetViews>
    <sheetView showWhiteSpace="0" topLeftCell="A7" zoomScale="130" zoomScaleNormal="130" workbookViewId="0">
      <selection activeCell="A20" sqref="A20"/>
    </sheetView>
  </sheetViews>
  <sheetFormatPr baseColWidth="10" defaultRowHeight="15"/>
  <cols>
    <col min="1" max="1" width="6.7109375" style="74" customWidth="1"/>
    <col min="2" max="2" width="5.28515625" style="74" customWidth="1"/>
    <col min="3" max="3" width="5.140625" style="74" customWidth="1"/>
    <col min="4" max="4" width="6.5703125" style="74" customWidth="1"/>
    <col min="5" max="16384" width="11.42578125" style="74"/>
  </cols>
  <sheetData>
    <row r="1" spans="1:5" ht="15" customHeight="1">
      <c r="A1" s="209" t="s">
        <v>236</v>
      </c>
      <c r="B1" s="209"/>
      <c r="C1" s="210" t="s">
        <v>237</v>
      </c>
      <c r="D1" s="210"/>
      <c r="E1" s="73"/>
    </row>
    <row r="2" spans="1:5">
      <c r="A2" s="75"/>
      <c r="B2" s="76"/>
      <c r="C2" s="77"/>
      <c r="D2" s="78"/>
    </row>
    <row r="3" spans="1:5">
      <c r="A3" s="116" t="s">
        <v>238</v>
      </c>
      <c r="B3" s="117" t="s">
        <v>239</v>
      </c>
      <c r="C3" s="117" t="s">
        <v>240</v>
      </c>
      <c r="D3" s="118" t="s">
        <v>241</v>
      </c>
      <c r="E3" s="79"/>
    </row>
    <row r="4" spans="1:5">
      <c r="A4" s="211" t="s">
        <v>319</v>
      </c>
      <c r="B4" s="211"/>
      <c r="C4" s="211"/>
      <c r="D4" s="211"/>
    </row>
    <row r="5" spans="1:5">
      <c r="A5" s="209" t="s">
        <v>236</v>
      </c>
      <c r="B5" s="209"/>
      <c r="C5" s="210" t="s">
        <v>237</v>
      </c>
      <c r="D5" s="210"/>
    </row>
    <row r="6" spans="1:5">
      <c r="A6" s="75"/>
      <c r="B6" s="76"/>
      <c r="C6" s="77"/>
      <c r="D6" s="78"/>
    </row>
    <row r="7" spans="1:5">
      <c r="A7" s="116" t="s">
        <v>238</v>
      </c>
      <c r="B7" s="117" t="s">
        <v>239</v>
      </c>
      <c r="C7" s="117" t="s">
        <v>240</v>
      </c>
      <c r="D7" s="118" t="s">
        <v>241</v>
      </c>
    </row>
    <row r="8" spans="1:5">
      <c r="A8" s="211" t="s">
        <v>319</v>
      </c>
      <c r="B8" s="211"/>
      <c r="C8" s="211"/>
      <c r="D8" s="211"/>
    </row>
    <row r="9" spans="1:5">
      <c r="A9" s="209" t="s">
        <v>236</v>
      </c>
      <c r="B9" s="209"/>
      <c r="C9" s="210" t="s">
        <v>237</v>
      </c>
      <c r="D9" s="210"/>
    </row>
    <row r="10" spans="1:5">
      <c r="A10" s="75"/>
      <c r="B10" s="76"/>
      <c r="C10" s="77"/>
      <c r="D10" s="78"/>
    </row>
    <row r="11" spans="1:5">
      <c r="A11" s="116" t="s">
        <v>238</v>
      </c>
      <c r="B11" s="117" t="s">
        <v>239</v>
      </c>
      <c r="C11" s="117" t="s">
        <v>240</v>
      </c>
      <c r="D11" s="118" t="s">
        <v>241</v>
      </c>
    </row>
    <row r="12" spans="1:5">
      <c r="A12" s="211" t="s">
        <v>319</v>
      </c>
      <c r="B12" s="211"/>
      <c r="C12" s="211"/>
      <c r="D12" s="211"/>
    </row>
    <row r="13" spans="1:5">
      <c r="A13" s="209" t="s">
        <v>236</v>
      </c>
      <c r="B13" s="209"/>
      <c r="C13" s="210" t="s">
        <v>237</v>
      </c>
      <c r="D13" s="210"/>
    </row>
    <row r="14" spans="1:5">
      <c r="A14" s="75"/>
      <c r="B14" s="76"/>
      <c r="C14" s="77"/>
      <c r="D14" s="78"/>
    </row>
    <row r="15" spans="1:5">
      <c r="A15" s="116" t="s">
        <v>238</v>
      </c>
      <c r="B15" s="117" t="s">
        <v>239</v>
      </c>
      <c r="C15" s="117" t="s">
        <v>240</v>
      </c>
      <c r="D15" s="118" t="s">
        <v>241</v>
      </c>
    </row>
    <row r="16" spans="1:5">
      <c r="A16" s="211" t="s">
        <v>319</v>
      </c>
      <c r="B16" s="211"/>
      <c r="C16" s="211"/>
      <c r="D16" s="211"/>
    </row>
    <row r="17" spans="1:4">
      <c r="A17" s="209" t="s">
        <v>236</v>
      </c>
      <c r="B17" s="209"/>
      <c r="C17" s="210" t="s">
        <v>237</v>
      </c>
      <c r="D17" s="210"/>
    </row>
    <row r="18" spans="1:4" ht="17.25" customHeight="1">
      <c r="A18" s="95"/>
      <c r="B18" s="96"/>
      <c r="C18" s="95"/>
      <c r="D18" s="95"/>
    </row>
    <row r="19" spans="1:4" ht="26.25">
      <c r="A19" s="94"/>
      <c r="B19" s="96" t="s">
        <v>256</v>
      </c>
    </row>
    <row r="20" spans="1:4" ht="17.25" customHeight="1">
      <c r="A20" s="97" t="s">
        <v>414</v>
      </c>
    </row>
    <row r="21" spans="1:4" ht="17.25" customHeight="1">
      <c r="A21" s="97" t="s">
        <v>127</v>
      </c>
    </row>
    <row r="22" spans="1:4" ht="17.25" customHeight="1">
      <c r="A22" s="97" t="s">
        <v>235</v>
      </c>
    </row>
    <row r="23" spans="1:4">
      <c r="A23" s="209" t="s">
        <v>236</v>
      </c>
      <c r="B23" s="209"/>
      <c r="C23" s="210" t="s">
        <v>237</v>
      </c>
      <c r="D23" s="210"/>
    </row>
    <row r="24" spans="1:4" ht="20.25" customHeight="1">
      <c r="A24" s="95"/>
      <c r="B24" s="96"/>
      <c r="C24" s="95"/>
      <c r="D24" s="95"/>
    </row>
    <row r="25" spans="1:4" ht="22.5" customHeight="1">
      <c r="A25" s="214" t="s">
        <v>131</v>
      </c>
      <c r="B25" s="214"/>
      <c r="C25" s="214"/>
      <c r="D25" s="214"/>
    </row>
    <row r="26" spans="1:4">
      <c r="A26" s="215" t="s">
        <v>355</v>
      </c>
      <c r="B26" s="215"/>
      <c r="C26" s="215"/>
      <c r="D26" s="215"/>
    </row>
    <row r="27" spans="1:4">
      <c r="A27" s="122" t="s">
        <v>354</v>
      </c>
    </row>
    <row r="28" spans="1:4">
      <c r="A28" s="74" t="s">
        <v>281</v>
      </c>
    </row>
    <row r="29" spans="1:4">
      <c r="A29" s="74" t="s">
        <v>217</v>
      </c>
    </row>
    <row r="30" spans="1:4" ht="12" customHeight="1" thickBot="1">
      <c r="A30" s="122" t="s">
        <v>324</v>
      </c>
    </row>
    <row r="31" spans="1:4" ht="12" customHeight="1">
      <c r="A31" s="135" t="s">
        <v>408</v>
      </c>
      <c r="B31" s="121"/>
      <c r="C31" s="121"/>
      <c r="D31" s="121"/>
    </row>
    <row r="32" spans="1:4" ht="12" customHeight="1">
      <c r="A32" s="123" t="s">
        <v>325</v>
      </c>
      <c r="B32" s="213">
        <f ca="1">TODAY()</f>
        <v>46233</v>
      </c>
      <c r="C32" s="213"/>
      <c r="D32" s="213"/>
    </row>
    <row r="33" spans="1:4" ht="12" customHeight="1">
      <c r="A33" s="120" t="s">
        <v>326</v>
      </c>
      <c r="D33" s="124" t="s">
        <v>390</v>
      </c>
    </row>
    <row r="34" spans="1:4" ht="15" customHeight="1">
      <c r="A34" s="212" t="s">
        <v>382</v>
      </c>
      <c r="B34" s="212"/>
      <c r="C34" s="212"/>
      <c r="D34" s="212"/>
    </row>
    <row r="35" spans="1:4">
      <c r="A35" s="212"/>
      <c r="B35" s="212"/>
      <c r="C35" s="212"/>
      <c r="D35" s="212"/>
    </row>
    <row r="36" spans="1:4">
      <c r="A36" s="212"/>
      <c r="B36" s="212"/>
      <c r="C36" s="212"/>
      <c r="D36" s="212"/>
    </row>
    <row r="37" spans="1:4">
      <c r="A37" s="212"/>
      <c r="B37" s="212"/>
      <c r="C37" s="212"/>
      <c r="D37" s="212"/>
    </row>
    <row r="38" spans="1:4">
      <c r="A38" s="208" t="s">
        <v>382</v>
      </c>
      <c r="B38" s="208"/>
      <c r="C38" s="208"/>
      <c r="D38" s="208"/>
    </row>
    <row r="39" spans="1:4">
      <c r="A39" s="208"/>
      <c r="B39" s="208"/>
      <c r="C39" s="208"/>
      <c r="D39" s="208"/>
    </row>
    <row r="40" spans="1:4">
      <c r="A40" s="208"/>
      <c r="B40" s="208"/>
      <c r="C40" s="208"/>
      <c r="D40" s="208"/>
    </row>
    <row r="41" spans="1:4">
      <c r="A41" s="208"/>
      <c r="B41" s="208"/>
      <c r="C41" s="208"/>
      <c r="D41" s="208"/>
    </row>
    <row r="42" spans="1:4" ht="15" customHeight="1">
      <c r="A42" s="208" t="s">
        <v>382</v>
      </c>
      <c r="B42" s="208"/>
      <c r="C42" s="208"/>
      <c r="D42" s="208"/>
    </row>
    <row r="43" spans="1:4">
      <c r="A43" s="208"/>
      <c r="B43" s="208"/>
      <c r="C43" s="208"/>
      <c r="D43" s="208"/>
    </row>
    <row r="44" spans="1:4">
      <c r="A44" s="208"/>
      <c r="B44" s="208"/>
      <c r="C44" s="208"/>
      <c r="D44" s="208"/>
    </row>
    <row r="45" spans="1:4">
      <c r="A45" s="208"/>
      <c r="B45" s="208"/>
      <c r="C45" s="208"/>
      <c r="D45" s="208"/>
    </row>
    <row r="46" spans="1:4">
      <c r="A46" s="149"/>
      <c r="B46" s="149"/>
      <c r="C46" s="149"/>
      <c r="D46" s="149"/>
    </row>
    <row r="47" spans="1:4">
      <c r="A47" s="216"/>
      <c r="B47" s="216"/>
      <c r="C47" s="217"/>
      <c r="D47" s="217"/>
    </row>
    <row r="48" spans="1:4">
      <c r="A48" s="123"/>
      <c r="B48" s="122"/>
      <c r="C48" s="203"/>
      <c r="D48" s="203"/>
    </row>
    <row r="49" spans="1:4">
      <c r="A49" s="204"/>
      <c r="B49" s="204"/>
      <c r="C49" s="204"/>
      <c r="D49" s="204"/>
    </row>
    <row r="50" spans="1:4">
      <c r="A50" s="218"/>
      <c r="B50" s="218"/>
      <c r="C50" s="218"/>
      <c r="D50" s="218"/>
    </row>
    <row r="51" spans="1:4">
      <c r="A51" s="216"/>
      <c r="B51" s="216"/>
      <c r="C51" s="217"/>
      <c r="D51" s="217"/>
    </row>
    <row r="52" spans="1:4">
      <c r="A52" s="123"/>
      <c r="B52" s="122"/>
      <c r="C52" s="203"/>
      <c r="D52" s="203"/>
    </row>
    <row r="53" spans="1:4">
      <c r="A53" s="204"/>
      <c r="B53" s="204"/>
      <c r="C53" s="204"/>
      <c r="D53" s="204"/>
    </row>
    <row r="54" spans="1:4">
      <c r="A54" s="218"/>
      <c r="B54" s="218"/>
      <c r="C54" s="218"/>
      <c r="D54" s="218"/>
    </row>
    <row r="55" spans="1:4">
      <c r="A55" s="216"/>
      <c r="B55" s="216"/>
      <c r="C55" s="217"/>
      <c r="D55" s="217"/>
    </row>
    <row r="56" spans="1:4">
      <c r="A56" s="123"/>
      <c r="B56" s="122"/>
      <c r="C56" s="203"/>
      <c r="D56" s="203"/>
    </row>
    <row r="57" spans="1:4">
      <c r="A57" s="204"/>
      <c r="B57" s="204"/>
      <c r="C57" s="204"/>
      <c r="D57" s="204"/>
    </row>
    <row r="58" spans="1:4">
      <c r="A58" s="218"/>
      <c r="B58" s="218"/>
      <c r="C58" s="218"/>
      <c r="D58" s="218"/>
    </row>
    <row r="59" spans="1:4">
      <c r="A59" s="216"/>
      <c r="B59" s="216"/>
      <c r="C59" s="217"/>
      <c r="D59" s="217"/>
    </row>
    <row r="60" spans="1:4">
      <c r="A60" s="123"/>
      <c r="B60" s="122"/>
      <c r="C60" s="203"/>
      <c r="D60" s="203"/>
    </row>
    <row r="61" spans="1:4">
      <c r="A61" s="204"/>
      <c r="B61" s="204"/>
      <c r="C61" s="204"/>
      <c r="D61" s="204"/>
    </row>
    <row r="62" spans="1:4">
      <c r="A62" s="218"/>
      <c r="B62" s="218"/>
      <c r="C62" s="218"/>
      <c r="D62" s="218"/>
    </row>
    <row r="63" spans="1:4">
      <c r="A63" s="216"/>
      <c r="B63" s="216"/>
      <c r="C63" s="217"/>
      <c r="D63" s="217"/>
    </row>
  </sheetData>
  <mergeCells count="36">
    <mergeCell ref="A62:D62"/>
    <mergeCell ref="A63:B63"/>
    <mergeCell ref="C63:D63"/>
    <mergeCell ref="A54:D54"/>
    <mergeCell ref="A55:B55"/>
    <mergeCell ref="C55:D55"/>
    <mergeCell ref="A58:D58"/>
    <mergeCell ref="A59:B59"/>
    <mergeCell ref="C59:D59"/>
    <mergeCell ref="A47:B47"/>
    <mergeCell ref="C47:D47"/>
    <mergeCell ref="A50:D50"/>
    <mergeCell ref="A51:B51"/>
    <mergeCell ref="C51:D51"/>
    <mergeCell ref="A38:D41"/>
    <mergeCell ref="B32:D32"/>
    <mergeCell ref="A23:B23"/>
    <mergeCell ref="C23:D23"/>
    <mergeCell ref="A25:D25"/>
    <mergeCell ref="A26:D26"/>
    <mergeCell ref="A42:D45"/>
    <mergeCell ref="A1:B1"/>
    <mergeCell ref="C1:D1"/>
    <mergeCell ref="A4:D4"/>
    <mergeCell ref="A17:B17"/>
    <mergeCell ref="C17:D17"/>
    <mergeCell ref="A5:B5"/>
    <mergeCell ref="C5:D5"/>
    <mergeCell ref="A8:D8"/>
    <mergeCell ref="A9:B9"/>
    <mergeCell ref="C9:D9"/>
    <mergeCell ref="A12:D12"/>
    <mergeCell ref="A13:B13"/>
    <mergeCell ref="C13:D13"/>
    <mergeCell ref="A16:D16"/>
    <mergeCell ref="A34:D37"/>
  </mergeCells>
  <pageMargins left="7.874015748031496E-2" right="0" top="0.11811023622047245" bottom="7.874015748031496E-2" header="7.874015748031496E-2" footer="7.874015748031496E-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249977111117893"/>
    <pageSetUpPr autoPageBreaks="0" fitToPage="1"/>
  </sheetPr>
  <dimension ref="C1:Q57"/>
  <sheetViews>
    <sheetView showGridLines="0" zoomScale="85" zoomScaleNormal="85" zoomScalePageLayoutView="40" workbookViewId="0">
      <selection activeCell="E11" sqref="E11"/>
    </sheetView>
  </sheetViews>
  <sheetFormatPr baseColWidth="10" defaultColWidth="9.42578125" defaultRowHeight="30" customHeight="1"/>
  <cols>
    <col min="2" max="2" width="2.7109375" customWidth="1"/>
    <col min="3" max="3" width="11.28515625" style="1" customWidth="1"/>
    <col min="4" max="4" width="40" style="1" customWidth="1"/>
    <col min="5" max="5" width="26.5703125" style="1" customWidth="1"/>
    <col min="6" max="6" width="9" style="1" customWidth="1"/>
    <col min="7" max="7" width="18.140625" style="1" customWidth="1"/>
    <col min="8" max="8" width="4" style="1" customWidth="1"/>
    <col min="9" max="9" width="15.7109375" style="1" customWidth="1"/>
    <col min="10" max="10" width="11.42578125" style="1" hidden="1" customWidth="1"/>
    <col min="11" max="11" width="17.5703125" style="1" customWidth="1"/>
    <col min="12" max="12" width="8.140625" style="1" customWidth="1"/>
    <col min="13" max="13" width="9.7109375" customWidth="1"/>
    <col min="14" max="14" width="25.7109375" customWidth="1"/>
    <col min="15" max="15" width="9.7109375" customWidth="1"/>
  </cols>
  <sheetData>
    <row r="1" spans="3:14" ht="60" customHeight="1">
      <c r="C1" s="20"/>
      <c r="D1"/>
      <c r="E1"/>
      <c r="F1"/>
      <c r="G1" s="21" t="s">
        <v>17</v>
      </c>
      <c r="H1" s="21"/>
      <c r="I1"/>
      <c r="J1"/>
      <c r="K1"/>
      <c r="L1"/>
      <c r="N1" s="6" t="s">
        <v>9</v>
      </c>
    </row>
    <row r="2" spans="3:14" ht="15" customHeight="1">
      <c r="C2" s="20"/>
      <c r="D2"/>
      <c r="E2"/>
      <c r="F2" s="219" t="s">
        <v>20</v>
      </c>
      <c r="G2" s="219"/>
      <c r="H2" s="29"/>
      <c r="I2"/>
      <c r="J2"/>
      <c r="K2"/>
      <c r="L2"/>
      <c r="N2" s="6"/>
    </row>
    <row r="3" spans="3:14" ht="7.5" customHeight="1">
      <c r="C3" s="20"/>
      <c r="D3"/>
      <c r="E3"/>
      <c r="F3" s="22"/>
      <c r="G3" s="22"/>
      <c r="H3" s="22"/>
      <c r="I3"/>
      <c r="J3"/>
      <c r="K3"/>
      <c r="L3"/>
    </row>
    <row r="4" spans="3:14" ht="15" customHeight="1">
      <c r="C4" s="3"/>
      <c r="D4"/>
      <c r="E4"/>
      <c r="F4"/>
      <c r="G4" t="s">
        <v>396</v>
      </c>
      <c r="H4"/>
      <c r="I4"/>
      <c r="J4"/>
      <c r="K4"/>
      <c r="L4"/>
    </row>
    <row r="5" spans="3:14" ht="15" customHeight="1">
      <c r="C5" s="3"/>
      <c r="D5"/>
      <c r="E5"/>
      <c r="F5"/>
      <c r="G5" t="s">
        <v>18</v>
      </c>
      <c r="H5"/>
      <c r="I5"/>
      <c r="J5"/>
      <c r="K5"/>
      <c r="L5"/>
    </row>
    <row r="6" spans="3:14" ht="7.5" customHeight="1">
      <c r="C6" s="3"/>
      <c r="D6"/>
      <c r="E6"/>
      <c r="F6"/>
      <c r="G6"/>
      <c r="H6"/>
      <c r="I6"/>
      <c r="J6"/>
      <c r="K6"/>
      <c r="L6"/>
    </row>
    <row r="7" spans="3:14" ht="14.25" customHeight="1">
      <c r="C7" s="3"/>
      <c r="D7"/>
      <c r="E7"/>
      <c r="F7"/>
      <c r="G7" s="227" t="s">
        <v>25</v>
      </c>
      <c r="H7" s="227"/>
      <c r="I7"/>
      <c r="J7"/>
      <c r="K7"/>
      <c r="L7"/>
    </row>
    <row r="8" spans="3:14" ht="15" customHeight="1">
      <c r="C8" s="3"/>
      <c r="D8"/>
      <c r="E8"/>
      <c r="F8"/>
      <c r="G8" t="s">
        <v>19</v>
      </c>
      <c r="H8"/>
      <c r="I8"/>
      <c r="J8"/>
      <c r="K8"/>
      <c r="L8"/>
    </row>
    <row r="9" spans="3:14" ht="15" customHeight="1">
      <c r="C9" s="3"/>
      <c r="D9" s="37" t="s">
        <v>409</v>
      </c>
      <c r="E9"/>
      <c r="F9"/>
      <c r="I9"/>
      <c r="J9"/>
      <c r="K9"/>
      <c r="L9"/>
    </row>
    <row r="10" spans="3:14" ht="6" customHeight="1">
      <c r="C10" s="3"/>
      <c r="D10" s="9"/>
      <c r="E10"/>
      <c r="F10"/>
      <c r="G10"/>
      <c r="H10"/>
      <c r="I10" s="10"/>
      <c r="J10" s="10"/>
      <c r="K10" s="10"/>
      <c r="L10" s="10"/>
    </row>
    <row r="11" spans="3:14" ht="30" customHeight="1">
      <c r="C11"/>
      <c r="D11" s="80" t="s">
        <v>421</v>
      </c>
      <c r="E11"/>
      <c r="F11"/>
      <c r="G11"/>
      <c r="H11" s="11"/>
      <c r="I11" s="13"/>
      <c r="J11" s="14"/>
      <c r="K11" s="14"/>
      <c r="L11" s="14"/>
    </row>
    <row r="12" spans="3:14" ht="30" customHeight="1">
      <c r="C12"/>
      <c r="D12" s="25" t="str">
        <f>IFERROR(VLOOKUP(Rechnungsname,Kundenliste[],3,FALSE),"")</f>
        <v>Hufeisenwg 13</v>
      </c>
      <c r="E12"/>
      <c r="F12"/>
      <c r="G12"/>
      <c r="H12" s="153" t="s">
        <v>30</v>
      </c>
      <c r="I12" s="153"/>
      <c r="J12" s="153"/>
      <c r="K12" s="153"/>
      <c r="L12" s="146"/>
      <c r="M12" s="35"/>
    </row>
    <row r="13" spans="3:14" ht="30" customHeight="1">
      <c r="C13"/>
      <c r="D13" s="25" t="str">
        <f>IFERROR(VLOOKUP(Rechnungsname,Kundenliste[],4,FALSE),"")</f>
        <v>12345 Pfaffenhausen</v>
      </c>
      <c r="E13"/>
      <c r="F13"/>
      <c r="G13"/>
      <c r="H13" s="12"/>
      <c r="I13"/>
      <c r="J13"/>
      <c r="K13"/>
      <c r="L13"/>
    </row>
    <row r="14" spans="3:14" ht="30" customHeight="1">
      <c r="C14"/>
      <c r="D14"/>
      <c r="E14"/>
      <c r="F14" s="230" t="s">
        <v>3</v>
      </c>
      <c r="G14" s="230"/>
      <c r="H14" s="230"/>
      <c r="I14" s="41" t="str">
        <f>IFERROR(VLOOKUP(Rechnungsname,Kundenliste[],2,FALSE),"")</f>
        <v>26NE0145</v>
      </c>
      <c r="J14"/>
      <c r="K14"/>
      <c r="L14"/>
    </row>
    <row r="15" spans="3:14" ht="30" customHeight="1">
      <c r="C15"/>
      <c r="D15" t="s">
        <v>37</v>
      </c>
      <c r="E15"/>
      <c r="F15"/>
      <c r="G15" s="220" t="s">
        <v>4</v>
      </c>
      <c r="H15" s="220"/>
      <c r="I15" s="42">
        <f ca="1">TODAY()</f>
        <v>46233</v>
      </c>
      <c r="J15" s="26"/>
      <c r="K15" s="26"/>
      <c r="L15" s="26"/>
    </row>
    <row r="16" spans="3:14" ht="30" customHeight="1">
      <c r="C16"/>
      <c r="D16" s="23" t="s">
        <v>22</v>
      </c>
      <c r="E16" t="s">
        <v>111</v>
      </c>
      <c r="F16"/>
      <c r="G16" s="221" t="s">
        <v>26</v>
      </c>
      <c r="H16" s="221"/>
      <c r="I16" s="221"/>
      <c r="J16"/>
      <c r="K16"/>
      <c r="L16"/>
    </row>
    <row r="17" spans="3:17" ht="30" customHeight="1">
      <c r="C17" s="8"/>
      <c r="D17" s="144"/>
      <c r="F17" s="233" t="s">
        <v>367</v>
      </c>
      <c r="G17" s="233"/>
      <c r="H17" s="233"/>
      <c r="I17" s="233"/>
      <c r="J17"/>
      <c r="K17"/>
      <c r="L17"/>
    </row>
    <row r="18" spans="3:17" ht="30" customHeight="1">
      <c r="C18" s="8"/>
      <c r="D18"/>
      <c r="E18"/>
      <c r="F18"/>
      <c r="G18"/>
      <c r="H18"/>
      <c r="I18" s="2"/>
      <c r="L18" s="238"/>
      <c r="M18" s="237"/>
      <c r="N18" s="237"/>
      <c r="O18" s="237"/>
      <c r="P18" s="237"/>
      <c r="Q18" s="237"/>
    </row>
    <row r="19" spans="3:17" ht="30" customHeight="1">
      <c r="C19" s="11"/>
      <c r="D19" s="15" t="s">
        <v>0</v>
      </c>
      <c r="E19" s="33" t="s">
        <v>35</v>
      </c>
      <c r="F19" s="16" t="s">
        <v>1</v>
      </c>
      <c r="G19" s="31" t="s">
        <v>2</v>
      </c>
      <c r="H19" s="30" t="s">
        <v>15</v>
      </c>
      <c r="I19" s="16" t="s">
        <v>8</v>
      </c>
      <c r="J19" s="156" t="s">
        <v>393</v>
      </c>
      <c r="K19" s="150"/>
      <c r="L19" s="237"/>
      <c r="M19" s="237"/>
      <c r="N19" s="237"/>
      <c r="O19" s="237"/>
      <c r="P19" s="237"/>
      <c r="Q19" s="237"/>
    </row>
    <row r="20" spans="3:17" ht="30" customHeight="1">
      <c r="C20" s="11"/>
      <c r="D20" s="70" t="s">
        <v>188</v>
      </c>
      <c r="E20" s="72" t="str">
        <f>IFERROR(VLOOKUP(D20,Produktliste,2,FALSE),"")</f>
        <v>180 Pastillen</v>
      </c>
      <c r="F20" s="147">
        <v>1</v>
      </c>
      <c r="G20" s="32">
        <f t="shared" ref="G20:G23" si="0">IFERROR(VLOOKUP(D20,Produktliste,5,FALSE),"")</f>
        <v>18</v>
      </c>
      <c r="H20" s="11"/>
      <c r="I20" s="17">
        <f>IF(AND(Rechnungspositionen[[#This Row],[Menge]]&lt;&gt;"",Rechnungspositionen[[#This Row],[Einzelpreis]]&lt;&gt;""),(Rechnungspositionen[[#This Row],[Menge]]*Rechnungspositionen[[#This Row],[Einzelpreis]])-Rechnungspositionen[[#This Row],[-]],"")</f>
        <v>18</v>
      </c>
      <c r="J20" s="151" t="s">
        <v>398</v>
      </c>
      <c r="K20" s="154"/>
      <c r="L20" s="237"/>
      <c r="M20" s="237"/>
      <c r="N20" s="237"/>
      <c r="O20" s="237"/>
      <c r="P20" s="237"/>
      <c r="Q20" s="237"/>
    </row>
    <row r="21" spans="3:17" ht="30" customHeight="1">
      <c r="C21" s="11"/>
      <c r="D21" s="71" t="s">
        <v>74</v>
      </c>
      <c r="E21" s="72" t="str">
        <f>IFERROR(VLOOKUP(D21,Produktliste,2,FALSE),"")</f>
        <v>100ml</v>
      </c>
      <c r="F21" s="147">
        <v>1</v>
      </c>
      <c r="G21" s="32">
        <f t="shared" si="0"/>
        <v>14</v>
      </c>
      <c r="H21" s="11"/>
      <c r="I21" s="17">
        <f>IF(AND(Rechnungspositionen[[#This Row],[Menge]]&lt;&gt;"",Rechnungspositionen[[#This Row],[Einzelpreis]]&lt;&gt;""),(Rechnungspositionen[[#This Row],[Menge]]*Rechnungspositionen[[#This Row],[Einzelpreis]])-Rechnungspositionen[[#This Row],[-]],"")</f>
        <v>14</v>
      </c>
      <c r="J21" s="151" t="s">
        <v>413</v>
      </c>
      <c r="K21" s="154"/>
      <c r="L21" s="237"/>
      <c r="M21" s="237"/>
      <c r="N21" s="237"/>
      <c r="O21" s="237"/>
      <c r="P21" s="237"/>
      <c r="Q21" s="237"/>
    </row>
    <row r="22" spans="3:17" ht="30" customHeight="1">
      <c r="C22" s="11"/>
      <c r="D22" s="71"/>
      <c r="E22" s="72" t="str">
        <f t="shared" ref="E22:E41" si="1">IFERROR(VLOOKUP(D22,Produktliste,2,FALSE),"")</f>
        <v/>
      </c>
      <c r="F22" s="147"/>
      <c r="G22" s="32" t="str">
        <f t="shared" si="0"/>
        <v/>
      </c>
      <c r="H22" s="11"/>
      <c r="I22" s="17" t="str">
        <f>IF(AND(Rechnungspositionen[[#This Row],[Menge]]&lt;&gt;"",Rechnungspositionen[[#This Row],[Einzelpreis]]&lt;&gt;""),(Rechnungspositionen[[#This Row],[Menge]]*Rechnungspositionen[[#This Row],[Einzelpreis]])-Rechnungspositionen[[#This Row],[-]],"")</f>
        <v/>
      </c>
      <c r="J22" s="151" t="s">
        <v>413</v>
      </c>
      <c r="K22" s="154"/>
      <c r="L22" s="237"/>
      <c r="M22" s="237"/>
      <c r="N22" s="237"/>
      <c r="O22" s="237"/>
      <c r="P22" s="237"/>
      <c r="Q22" s="237"/>
    </row>
    <row r="23" spans="3:17" ht="30" customHeight="1">
      <c r="C23" s="11"/>
      <c r="D23" s="71"/>
      <c r="E23" s="72" t="str">
        <f t="shared" si="1"/>
        <v/>
      </c>
      <c r="F23" s="147"/>
      <c r="G23" s="32" t="str">
        <f t="shared" si="0"/>
        <v/>
      </c>
      <c r="H23" s="11"/>
      <c r="I23" s="17" t="str">
        <f>IF(AND(Rechnungspositionen[[#This Row],[Menge]]&lt;&gt;"",Rechnungspositionen[[#This Row],[Einzelpreis]]&lt;&gt;""),(Rechnungspositionen[[#This Row],[Menge]]*Rechnungspositionen[[#This Row],[Einzelpreis]])-Rechnungspositionen[[#This Row],[-]],"")</f>
        <v/>
      </c>
      <c r="J23" s="151" t="s">
        <v>398</v>
      </c>
      <c r="K23" s="154"/>
      <c r="L23" s="237"/>
      <c r="M23" s="237"/>
      <c r="N23" s="237"/>
      <c r="O23" s="237"/>
      <c r="P23" s="237"/>
      <c r="Q23" s="237"/>
    </row>
    <row r="24" spans="3:17" ht="30" hidden="1" customHeight="1">
      <c r="C24" s="11"/>
      <c r="D24" s="71"/>
      <c r="E24" s="72" t="str">
        <f t="shared" si="1"/>
        <v/>
      </c>
      <c r="F24" s="147"/>
      <c r="G24" s="32" t="str">
        <f t="shared" ref="G24:G40" si="2">IFERROR(VLOOKUP(D24,Produktliste,5,FALSE),"")</f>
        <v/>
      </c>
      <c r="H24" s="11"/>
      <c r="I24" s="17" t="str">
        <f>IF(AND(Rechnungspositionen[[#This Row],[Menge]]&lt;&gt;"",Rechnungspositionen[[#This Row],[Einzelpreis]]&lt;&gt;""),(Rechnungspositionen[[#This Row],[Menge]]*Rechnungspositionen[[#This Row],[Einzelpreis]])-Rechnungspositionen[[#This Row],[-]],"")</f>
        <v/>
      </c>
      <c r="J24" s="151" t="s">
        <v>415</v>
      </c>
      <c r="K24" s="154"/>
      <c r="L24" s="237"/>
      <c r="M24" s="237"/>
      <c r="N24" s="237"/>
      <c r="O24" s="237"/>
      <c r="P24" s="237"/>
      <c r="Q24" s="237"/>
    </row>
    <row r="25" spans="3:17" ht="30" hidden="1" customHeight="1">
      <c r="C25" s="11"/>
      <c r="D25" s="71"/>
      <c r="E25" s="205"/>
      <c r="F25" s="147"/>
      <c r="G25" s="32" t="str">
        <f t="shared" si="2"/>
        <v/>
      </c>
      <c r="H25" s="11"/>
      <c r="I25" s="17" t="str">
        <f>IF(AND(Rechnungspositionen[[#This Row],[Menge]]&lt;&gt;"",Rechnungspositionen[[#This Row],[Einzelpreis]]&lt;&gt;""),(Rechnungspositionen[[#This Row],[Menge]]*Rechnungspositionen[[#This Row],[Einzelpreis]])-Rechnungspositionen[[#This Row],[-]],"")</f>
        <v/>
      </c>
      <c r="J25" s="151"/>
      <c r="K25" s="154"/>
      <c r="L25" s="237"/>
      <c r="M25" s="237"/>
      <c r="N25" s="237"/>
      <c r="O25" s="237"/>
      <c r="P25" s="237"/>
      <c r="Q25" s="237"/>
    </row>
    <row r="26" spans="3:17" ht="30" hidden="1" customHeight="1">
      <c r="C26" s="11"/>
      <c r="D26" s="71"/>
      <c r="E26" s="205"/>
      <c r="F26" s="147"/>
      <c r="G26" s="32" t="str">
        <f t="shared" si="2"/>
        <v/>
      </c>
      <c r="H26" s="11"/>
      <c r="I26" s="17" t="str">
        <f>IF(AND(Rechnungspositionen[[#This Row],[Menge]]&lt;&gt;"",Rechnungspositionen[[#This Row],[Einzelpreis]]&lt;&gt;""),(Rechnungspositionen[[#This Row],[Menge]]*Rechnungspositionen[[#This Row],[Einzelpreis]])-Rechnungspositionen[[#This Row],[-]],"")</f>
        <v/>
      </c>
      <c r="J26" s="151"/>
      <c r="K26" s="154"/>
      <c r="L26" s="237"/>
      <c r="M26" s="237"/>
      <c r="N26" s="237"/>
      <c r="O26" s="237"/>
      <c r="P26" s="237"/>
      <c r="Q26" s="237"/>
    </row>
    <row r="27" spans="3:17" ht="30" hidden="1" customHeight="1">
      <c r="C27" s="11"/>
      <c r="D27" s="71"/>
      <c r="E27" s="205"/>
      <c r="F27" s="147"/>
      <c r="G27" s="32" t="str">
        <f t="shared" si="2"/>
        <v/>
      </c>
      <c r="H27" s="11"/>
      <c r="I27" s="17" t="str">
        <f>IF(AND(Rechnungspositionen[[#This Row],[Menge]]&lt;&gt;"",Rechnungspositionen[[#This Row],[Einzelpreis]]&lt;&gt;""),(Rechnungspositionen[[#This Row],[Menge]]*Rechnungspositionen[[#This Row],[Einzelpreis]])-Rechnungspositionen[[#This Row],[-]],"")</f>
        <v/>
      </c>
      <c r="J27" s="151"/>
      <c r="K27" s="154"/>
      <c r="L27" s="237"/>
      <c r="M27" s="237"/>
      <c r="N27" s="237"/>
      <c r="O27" s="237"/>
      <c r="P27" s="237"/>
      <c r="Q27" s="237"/>
    </row>
    <row r="28" spans="3:17" ht="30" hidden="1" customHeight="1">
      <c r="C28" s="11"/>
      <c r="D28" s="71"/>
      <c r="E28" s="205"/>
      <c r="F28" s="147"/>
      <c r="G28" s="32" t="str">
        <f t="shared" si="2"/>
        <v/>
      </c>
      <c r="H28" s="11"/>
      <c r="I28" s="17" t="str">
        <f>IF(AND(Rechnungspositionen[[#This Row],[Menge]]&lt;&gt;"",Rechnungspositionen[[#This Row],[Einzelpreis]]&lt;&gt;""),(Rechnungspositionen[[#This Row],[Menge]]*Rechnungspositionen[[#This Row],[Einzelpreis]])-Rechnungspositionen[[#This Row],[-]],"")</f>
        <v/>
      </c>
      <c r="J28" s="151"/>
      <c r="K28" s="154"/>
      <c r="L28" s="237"/>
      <c r="M28" s="237"/>
      <c r="N28" s="237"/>
      <c r="O28" s="237"/>
      <c r="P28" s="237"/>
      <c r="Q28" s="237"/>
    </row>
    <row r="29" spans="3:17" ht="30" hidden="1" customHeight="1">
      <c r="C29" s="11"/>
      <c r="D29" s="71"/>
      <c r="E29" s="205"/>
      <c r="F29" s="147"/>
      <c r="G29" s="32" t="str">
        <f t="shared" si="2"/>
        <v/>
      </c>
      <c r="H29" s="11"/>
      <c r="I29" s="17" t="str">
        <f>IF(AND(Rechnungspositionen[[#This Row],[Menge]]&lt;&gt;"",Rechnungspositionen[[#This Row],[Einzelpreis]]&lt;&gt;""),(Rechnungspositionen[[#This Row],[Menge]]*Rechnungspositionen[[#This Row],[Einzelpreis]])-Rechnungspositionen[[#This Row],[-]],"")</f>
        <v/>
      </c>
      <c r="J29" s="151"/>
      <c r="K29" s="154"/>
      <c r="L29" s="237"/>
      <c r="M29" s="237"/>
      <c r="N29" s="237"/>
      <c r="O29" s="237"/>
      <c r="P29" s="237"/>
      <c r="Q29" s="237"/>
    </row>
    <row r="30" spans="3:17" ht="30" hidden="1" customHeight="1">
      <c r="C30" s="11"/>
      <c r="D30" s="71"/>
      <c r="E30" s="205"/>
      <c r="F30" s="147"/>
      <c r="G30" s="32" t="str">
        <f t="shared" si="2"/>
        <v/>
      </c>
      <c r="H30" s="11"/>
      <c r="I30" s="17" t="str">
        <f>IF(AND(Rechnungspositionen[[#This Row],[Menge]]&lt;&gt;"",Rechnungspositionen[[#This Row],[Einzelpreis]]&lt;&gt;""),(Rechnungspositionen[[#This Row],[Menge]]*Rechnungspositionen[[#This Row],[Einzelpreis]])-Rechnungspositionen[[#This Row],[-]],"")</f>
        <v/>
      </c>
      <c r="J30" s="151"/>
      <c r="K30" s="154"/>
      <c r="L30" s="237"/>
      <c r="M30" s="237"/>
      <c r="N30" s="237"/>
      <c r="O30" s="237"/>
      <c r="P30" s="237"/>
      <c r="Q30" s="237"/>
    </row>
    <row r="31" spans="3:17" ht="30" hidden="1" customHeight="1">
      <c r="C31" s="11"/>
      <c r="D31" s="71"/>
      <c r="E31" s="205"/>
      <c r="F31" s="147"/>
      <c r="G31" s="32" t="str">
        <f t="shared" si="2"/>
        <v/>
      </c>
      <c r="H31" s="11"/>
      <c r="I31" s="17" t="str">
        <f>IF(AND(Rechnungspositionen[[#This Row],[Menge]]&lt;&gt;"",Rechnungspositionen[[#This Row],[Einzelpreis]]&lt;&gt;""),(Rechnungspositionen[[#This Row],[Menge]]*Rechnungspositionen[[#This Row],[Einzelpreis]])-Rechnungspositionen[[#This Row],[-]],"")</f>
        <v/>
      </c>
      <c r="J31" s="151"/>
      <c r="K31" s="154"/>
      <c r="L31" s="237"/>
      <c r="M31" s="237"/>
      <c r="N31" s="237"/>
      <c r="O31" s="237"/>
      <c r="P31" s="237"/>
      <c r="Q31" s="237"/>
    </row>
    <row r="32" spans="3:17" ht="30" hidden="1" customHeight="1">
      <c r="C32" s="11"/>
      <c r="D32" s="71"/>
      <c r="E32" s="205"/>
      <c r="F32" s="147"/>
      <c r="G32" s="32" t="str">
        <f t="shared" si="2"/>
        <v/>
      </c>
      <c r="H32" s="11"/>
      <c r="I32" s="17" t="str">
        <f>IF(AND(Rechnungspositionen[[#This Row],[Menge]]&lt;&gt;"",Rechnungspositionen[[#This Row],[Einzelpreis]]&lt;&gt;""),(Rechnungspositionen[[#This Row],[Menge]]*Rechnungspositionen[[#This Row],[Einzelpreis]])-Rechnungspositionen[[#This Row],[-]],"")</f>
        <v/>
      </c>
      <c r="J32" s="151"/>
      <c r="K32" s="154"/>
      <c r="L32" s="237"/>
      <c r="M32" s="237"/>
      <c r="N32" s="237"/>
      <c r="O32" s="237"/>
      <c r="P32" s="237"/>
      <c r="Q32" s="237"/>
    </row>
    <row r="33" spans="3:17" ht="30" hidden="1" customHeight="1">
      <c r="C33" s="11"/>
      <c r="D33" s="71"/>
      <c r="E33" s="205"/>
      <c r="F33" s="147"/>
      <c r="G33" s="32" t="str">
        <f t="shared" si="2"/>
        <v/>
      </c>
      <c r="H33" s="11"/>
      <c r="I33" s="17" t="str">
        <f>IF(AND(Rechnungspositionen[[#This Row],[Menge]]&lt;&gt;"",Rechnungspositionen[[#This Row],[Einzelpreis]]&lt;&gt;""),(Rechnungspositionen[[#This Row],[Menge]]*Rechnungspositionen[[#This Row],[Einzelpreis]])-Rechnungspositionen[[#This Row],[-]],"")</f>
        <v/>
      </c>
      <c r="J33" s="151"/>
      <c r="K33" s="154"/>
      <c r="L33" s="237"/>
      <c r="M33" s="237"/>
      <c r="N33" s="237"/>
      <c r="O33" s="237"/>
      <c r="P33" s="237"/>
      <c r="Q33" s="237"/>
    </row>
    <row r="34" spans="3:17" ht="30" hidden="1" customHeight="1">
      <c r="C34" s="11"/>
      <c r="D34" s="71"/>
      <c r="E34" s="205"/>
      <c r="F34" s="147"/>
      <c r="G34" s="32" t="str">
        <f t="shared" si="2"/>
        <v/>
      </c>
      <c r="H34" s="11"/>
      <c r="I34" s="17" t="str">
        <f>IF(AND(Rechnungspositionen[[#This Row],[Menge]]&lt;&gt;"",Rechnungspositionen[[#This Row],[Einzelpreis]]&lt;&gt;""),(Rechnungspositionen[[#This Row],[Menge]]*Rechnungspositionen[[#This Row],[Einzelpreis]])-Rechnungspositionen[[#This Row],[-]],"")</f>
        <v/>
      </c>
      <c r="J34" s="151"/>
      <c r="K34" s="154"/>
      <c r="L34" s="237"/>
      <c r="M34" s="237"/>
      <c r="N34" s="237"/>
      <c r="O34" s="237"/>
      <c r="P34" s="237"/>
      <c r="Q34" s="237"/>
    </row>
    <row r="35" spans="3:17" ht="30" hidden="1" customHeight="1">
      <c r="C35" s="11"/>
      <c r="D35" s="71"/>
      <c r="E35" s="205"/>
      <c r="F35" s="147"/>
      <c r="G35" s="32" t="str">
        <f t="shared" si="2"/>
        <v/>
      </c>
      <c r="H35" s="11"/>
      <c r="I35" s="17" t="str">
        <f>IF(AND(Rechnungspositionen[[#This Row],[Menge]]&lt;&gt;"",Rechnungspositionen[[#This Row],[Einzelpreis]]&lt;&gt;""),(Rechnungspositionen[[#This Row],[Menge]]*Rechnungspositionen[[#This Row],[Einzelpreis]])-Rechnungspositionen[[#This Row],[-]],"")</f>
        <v/>
      </c>
      <c r="J35" s="151"/>
      <c r="K35" s="154"/>
      <c r="L35" s="237"/>
      <c r="M35" s="237"/>
      <c r="N35" s="237"/>
      <c r="O35" s="237"/>
      <c r="P35" s="237"/>
      <c r="Q35" s="237"/>
    </row>
    <row r="36" spans="3:17" ht="30" hidden="1" customHeight="1">
      <c r="C36" s="11"/>
      <c r="D36" s="71"/>
      <c r="E36" s="205"/>
      <c r="F36" s="147"/>
      <c r="G36" s="32" t="str">
        <f t="shared" si="2"/>
        <v/>
      </c>
      <c r="H36" s="11"/>
      <c r="I36" s="17" t="str">
        <f>IF(AND(Rechnungspositionen[[#This Row],[Menge]]&lt;&gt;"",Rechnungspositionen[[#This Row],[Einzelpreis]]&lt;&gt;""),(Rechnungspositionen[[#This Row],[Menge]]*Rechnungspositionen[[#This Row],[Einzelpreis]])-Rechnungspositionen[[#This Row],[-]],"")</f>
        <v/>
      </c>
      <c r="J36" s="151"/>
      <c r="K36" s="154"/>
      <c r="L36" s="237"/>
      <c r="M36" s="237"/>
      <c r="N36" s="237"/>
      <c r="O36" s="237"/>
      <c r="P36" s="237"/>
      <c r="Q36" s="237"/>
    </row>
    <row r="37" spans="3:17" ht="30" hidden="1" customHeight="1">
      <c r="C37" s="11"/>
      <c r="D37" s="71"/>
      <c r="E37" s="205"/>
      <c r="F37" s="147"/>
      <c r="G37" s="32" t="str">
        <f t="shared" si="2"/>
        <v/>
      </c>
      <c r="H37" s="11"/>
      <c r="I37" s="17" t="str">
        <f>IF(AND(Rechnungspositionen[[#This Row],[Menge]]&lt;&gt;"",Rechnungspositionen[[#This Row],[Einzelpreis]]&lt;&gt;""),(Rechnungspositionen[[#This Row],[Menge]]*Rechnungspositionen[[#This Row],[Einzelpreis]])-Rechnungspositionen[[#This Row],[-]],"")</f>
        <v/>
      </c>
      <c r="J37" s="151"/>
      <c r="K37" s="154"/>
      <c r="L37" s="237"/>
      <c r="M37" s="237"/>
      <c r="N37" s="237"/>
      <c r="O37" s="237"/>
      <c r="P37" s="237"/>
      <c r="Q37" s="237"/>
    </row>
    <row r="38" spans="3:17" ht="30" hidden="1" customHeight="1">
      <c r="C38" s="11"/>
      <c r="D38" s="71"/>
      <c r="E38" s="205"/>
      <c r="F38" s="147"/>
      <c r="G38" s="32" t="str">
        <f t="shared" si="2"/>
        <v/>
      </c>
      <c r="H38" s="11"/>
      <c r="I38" s="17" t="str">
        <f>IF(AND(Rechnungspositionen[[#This Row],[Menge]]&lt;&gt;"",Rechnungspositionen[[#This Row],[Einzelpreis]]&lt;&gt;""),(Rechnungspositionen[[#This Row],[Menge]]*Rechnungspositionen[[#This Row],[Einzelpreis]])-Rechnungspositionen[[#This Row],[-]],"")</f>
        <v/>
      </c>
      <c r="J38" s="151"/>
      <c r="K38" s="154"/>
      <c r="L38" s="237"/>
      <c r="M38" s="237"/>
      <c r="N38" s="237"/>
      <c r="O38" s="237"/>
      <c r="P38" s="237"/>
      <c r="Q38" s="237"/>
    </row>
    <row r="39" spans="3:17" ht="30" hidden="1" customHeight="1">
      <c r="C39" s="11"/>
      <c r="D39" s="71"/>
      <c r="E39" s="205"/>
      <c r="F39" s="147"/>
      <c r="G39" s="32" t="str">
        <f t="shared" si="2"/>
        <v/>
      </c>
      <c r="H39" s="11"/>
      <c r="I39" s="17" t="str">
        <f>IF(AND(Rechnungspositionen[[#This Row],[Menge]]&lt;&gt;"",Rechnungspositionen[[#This Row],[Einzelpreis]]&lt;&gt;""),(Rechnungspositionen[[#This Row],[Menge]]*Rechnungspositionen[[#This Row],[Einzelpreis]])-Rechnungspositionen[[#This Row],[-]],"")</f>
        <v/>
      </c>
      <c r="J39" s="151"/>
      <c r="K39" s="154"/>
      <c r="L39" s="237"/>
      <c r="M39" s="237"/>
      <c r="N39" s="237"/>
      <c r="O39" s="237"/>
      <c r="P39" s="237"/>
      <c r="Q39" s="237"/>
    </row>
    <row r="40" spans="3:17" ht="30" hidden="1" customHeight="1">
      <c r="C40" s="11"/>
      <c r="D40" s="71"/>
      <c r="E40" s="205"/>
      <c r="F40" s="147"/>
      <c r="G40" s="32" t="str">
        <f t="shared" si="2"/>
        <v/>
      </c>
      <c r="H40" s="11"/>
      <c r="I40" s="17" t="str">
        <f>IF(AND(Rechnungspositionen[[#This Row],[Menge]]&lt;&gt;"",Rechnungspositionen[[#This Row],[Einzelpreis]]&lt;&gt;""),(Rechnungspositionen[[#This Row],[Menge]]*Rechnungspositionen[[#This Row],[Einzelpreis]])-Rechnungspositionen[[#This Row],[-]],"")</f>
        <v/>
      </c>
      <c r="J40" s="151"/>
      <c r="K40" s="154"/>
      <c r="L40" s="237"/>
      <c r="M40" s="237"/>
      <c r="N40" s="237"/>
      <c r="O40" s="237"/>
      <c r="P40" s="237"/>
      <c r="Q40" s="237"/>
    </row>
    <row r="41" spans="3:17" ht="30" customHeight="1">
      <c r="C41" s="11"/>
      <c r="D41" s="70"/>
      <c r="E41" s="72" t="str">
        <f t="shared" si="1"/>
        <v/>
      </c>
      <c r="F41" s="147"/>
      <c r="G41" s="32" t="str">
        <f>IFERROR(VLOOKUP(D41,Produktliste,5,FALSE),"")</f>
        <v/>
      </c>
      <c r="H41" s="11"/>
      <c r="I41" s="17" t="str">
        <f>IF(AND(Rechnungspositionen[[#This Row],[Menge]]&lt;&gt;"",Rechnungspositionen[[#This Row],[Einzelpreis]]&lt;&gt;""),(Rechnungspositionen[[#This Row],[Menge]]*Rechnungspositionen[[#This Row],[Einzelpreis]])-Rechnungspositionen[[#This Row],[-]],"")</f>
        <v/>
      </c>
      <c r="J41" s="152"/>
      <c r="K41" s="155"/>
      <c r="L41" s="237"/>
      <c r="M41" s="237"/>
      <c r="N41" s="237"/>
      <c r="O41" s="239"/>
      <c r="P41" s="237"/>
      <c r="Q41" s="237"/>
    </row>
    <row r="42" spans="3:17" ht="30" customHeight="1">
      <c r="C42" s="11"/>
      <c r="D42" s="11"/>
      <c r="E42" s="11"/>
      <c r="F42" s="11"/>
      <c r="G42" s="11"/>
      <c r="H42" s="34" t="s">
        <v>6</v>
      </c>
      <c r="I42" s="38">
        <f>SUM(Rechnungspositionen[Gesamt])</f>
        <v>32</v>
      </c>
      <c r="J42"/>
      <c r="K42"/>
      <c r="L42" s="237"/>
      <c r="M42" s="237"/>
      <c r="N42" s="240"/>
      <c r="O42" s="240"/>
      <c r="P42" s="237"/>
      <c r="Q42" s="237"/>
    </row>
    <row r="43" spans="3:17" ht="30" customHeight="1">
      <c r="C43" s="11"/>
      <c r="D43" s="145"/>
      <c r="E43" s="11"/>
      <c r="F43" s="11"/>
      <c r="G43" s="108"/>
      <c r="H43" s="109" t="s">
        <v>5</v>
      </c>
      <c r="I43" s="110">
        <v>3</v>
      </c>
      <c r="J43"/>
      <c r="K43"/>
      <c r="L43" s="237"/>
      <c r="M43" s="237"/>
      <c r="N43" s="237"/>
      <c r="O43" s="237"/>
      <c r="P43" s="237"/>
      <c r="Q43" s="237"/>
    </row>
    <row r="44" spans="3:17" ht="30" hidden="1" customHeight="1">
      <c r="C44" s="11"/>
      <c r="D44" s="36"/>
      <c r="E44" s="18"/>
      <c r="F44" s="18"/>
      <c r="G44" s="18"/>
      <c r="H44" s="34" t="s">
        <v>7</v>
      </c>
      <c r="I44" s="38">
        <v>0</v>
      </c>
      <c r="J44"/>
      <c r="K44"/>
      <c r="L44" s="237"/>
      <c r="M44" s="237"/>
      <c r="N44" s="237"/>
      <c r="O44" s="237"/>
      <c r="P44" s="237"/>
      <c r="Q44" s="237"/>
    </row>
    <row r="45" spans="3:17" ht="30" customHeight="1" thickBot="1">
      <c r="C45" s="11"/>
      <c r="D45" s="18"/>
      <c r="E45" s="18"/>
      <c r="F45" s="18"/>
      <c r="G45" s="111"/>
      <c r="H45" s="40" t="s">
        <v>23</v>
      </c>
      <c r="I45" s="112">
        <f>Rechnungszwischensumme-Rabatt-Anzahlung</f>
        <v>29</v>
      </c>
      <c r="J45"/>
      <c r="K45"/>
      <c r="L45" s="237"/>
      <c r="M45" s="237"/>
      <c r="N45" s="237"/>
      <c r="O45" s="237"/>
      <c r="P45" s="237"/>
      <c r="Q45" s="237"/>
    </row>
    <row r="46" spans="3:17" ht="30" customHeight="1" thickTop="1">
      <c r="C46" s="11"/>
      <c r="D46" s="19"/>
      <c r="E46" s="19"/>
      <c r="F46" s="19"/>
      <c r="G46" s="19"/>
      <c r="H46" s="19"/>
      <c r="I46" s="19"/>
      <c r="J46"/>
      <c r="K46"/>
      <c r="L46" s="237"/>
      <c r="M46" s="237"/>
      <c r="N46" s="237"/>
      <c r="O46" s="237"/>
      <c r="P46" s="237"/>
      <c r="Q46" s="237"/>
    </row>
    <row r="47" spans="3:17" ht="30" customHeight="1">
      <c r="C47" s="18"/>
      <c r="D47" s="18" t="s">
        <v>48</v>
      </c>
      <c r="E47" s="18"/>
      <c r="F47" s="18"/>
      <c r="G47" s="18"/>
      <c r="H47" s="18"/>
      <c r="I47" s="19"/>
    </row>
    <row r="48" spans="3:17" ht="30" customHeight="1">
      <c r="D48" s="24" t="s">
        <v>24</v>
      </c>
    </row>
    <row r="50" spans="4:9" ht="20.25" customHeight="1">
      <c r="D50" s="223" t="s">
        <v>265</v>
      </c>
      <c r="E50" s="224"/>
      <c r="F50" s="224"/>
      <c r="G50" s="224"/>
      <c r="H50" s="224"/>
      <c r="I50" s="224"/>
    </row>
    <row r="51" spans="4:9" ht="20.25" customHeight="1">
      <c r="D51" s="225"/>
      <c r="E51" s="225"/>
      <c r="F51" s="225"/>
      <c r="G51" s="225"/>
      <c r="H51" s="225"/>
      <c r="I51" s="225"/>
    </row>
    <row r="52" spans="4:9" ht="30" customHeight="1">
      <c r="D52" s="231" t="s">
        <v>242</v>
      </c>
      <c r="E52" s="232"/>
      <c r="F52" s="232"/>
      <c r="G52" s="232"/>
      <c r="H52" s="232"/>
      <c r="I52" s="232"/>
    </row>
    <row r="53" spans="4:9" ht="30" customHeight="1">
      <c r="D53" s="231" t="s">
        <v>264</v>
      </c>
      <c r="E53" s="232"/>
      <c r="F53" s="232"/>
      <c r="G53" s="232"/>
      <c r="H53" s="232"/>
      <c r="I53" s="232"/>
    </row>
    <row r="54" spans="4:9" ht="30" customHeight="1">
      <c r="D54" s="39"/>
      <c r="E54" s="43"/>
      <c r="F54" s="43"/>
      <c r="G54" s="226" t="s">
        <v>363</v>
      </c>
      <c r="H54" s="226"/>
      <c r="I54" s="226"/>
    </row>
    <row r="55" spans="4:9" ht="30" customHeight="1">
      <c r="D55" s="228" t="s">
        <v>29</v>
      </c>
      <c r="E55" s="228"/>
      <c r="G55" s="229" t="s">
        <v>85</v>
      </c>
      <c r="H55" s="229"/>
      <c r="I55" s="229"/>
    </row>
    <row r="56" spans="4:9" ht="30" customHeight="1">
      <c r="D56" s="45"/>
      <c r="E56" s="44"/>
      <c r="G56" s="222" t="s">
        <v>86</v>
      </c>
      <c r="H56" s="222"/>
      <c r="I56" s="222"/>
    </row>
    <row r="57" spans="4:9" ht="30" customHeight="1">
      <c r="G57" s="46"/>
      <c r="H57" s="46"/>
      <c r="I57" s="46"/>
    </row>
  </sheetData>
  <sheetProtection formatCells="0" formatColumns="0" formatRows="0" selectLockedCells="1" sort="0"/>
  <mergeCells count="14">
    <mergeCell ref="N42:O42"/>
    <mergeCell ref="D55:E55"/>
    <mergeCell ref="G55:I55"/>
    <mergeCell ref="F14:H14"/>
    <mergeCell ref="D53:I53"/>
    <mergeCell ref="D52:I52"/>
    <mergeCell ref="F17:I17"/>
    <mergeCell ref="F2:G2"/>
    <mergeCell ref="G15:H15"/>
    <mergeCell ref="G16:I16"/>
    <mergeCell ref="G56:I56"/>
    <mergeCell ref="D50:I51"/>
    <mergeCell ref="G54:I54"/>
    <mergeCell ref="G7:H7"/>
  </mergeCells>
  <phoneticPr fontId="17" type="noConversion"/>
  <conditionalFormatting sqref="D11:D13">
    <cfRule type="duplicateValues" dxfId="2" priority="11"/>
  </conditionalFormatting>
  <conditionalFormatting sqref="D20:D40">
    <cfRule type="duplicateValues" dxfId="1" priority="44"/>
  </conditionalFormatting>
  <conditionalFormatting sqref="D41">
    <cfRule type="duplicateValues" dxfId="0" priority="2"/>
  </conditionalFormatting>
  <dataValidations xWindow="207" yWindow="740" count="25">
    <dataValidation type="list" allowBlank="1" showInputMessage="1" prompt="Wählen Sie in dieser Zelle den Kundennamen aus. Drücken Sie ALT+NACH-UNTEN, um die Dropdownliste zu öffnen, und dann EINGABE, um die Auswahl zu treffen. Fügen Sie dem Arbeitsblatt &quot;Kunden&quot; weitere Kunden hinzu, um die Auswahlliste zu erweitern." sqref="D11" xr:uid="{00000000-0002-0000-0000-000000000000}">
      <formula1>KundeNachschlagen</formula1>
    </dataValidation>
    <dataValidation allowBlank="1" showInputMessage="1" showErrorMessage="1" prompt="Geben Sie in der Zelle rechts die Rechnungsnummer ein." sqref="I14" xr:uid="{00000000-0002-0000-0000-00000D000000}"/>
    <dataValidation allowBlank="1" showInputMessage="1" showErrorMessage="1" prompt="Geben Sie in der Zelle rechts das Rechnungsdatum ein." sqref="G16 I11 I15" xr:uid="{00000000-0002-0000-0000-00000F000000}"/>
    <dataValidation allowBlank="1" showInputMessage="1" showErrorMessage="1" prompt="Geben Sie in dieser Zelle das Rechnungsdatum ein." sqref="J11:L11 J15:L15" xr:uid="{00000000-0002-0000-0000-000010000000}"/>
    <dataValidation allowBlank="1" showInputMessage="1" showErrorMessage="1" prompt="Geben Sie in dieser Spalte unter dieser Überschrift eine Artikelbeschreibung ein." sqref="D19" xr:uid="{00000000-0002-0000-0000-000015000000}"/>
    <dataValidation allowBlank="1" showInputMessage="1" showErrorMessage="1" prompt="Geben Sie in dieser Spalte unter dieser Überschrift die Menge ein." sqref="F19" xr:uid="{00000000-0002-0000-0000-000016000000}"/>
    <dataValidation allowBlank="1" showInputMessage="1" showErrorMessage="1" prompt="Geben Sie in dieser Spalte unter dieser Überschrift den Einzelpreis ein." sqref="G19" xr:uid="{00000000-0002-0000-0000-000017000000}"/>
    <dataValidation allowBlank="1" showInputMessage="1" showErrorMessage="1" prompt="Die Summe wird in dieser Spalte unter dieser Überschrift automatisch berechnet." sqref="I19" xr:uid="{00000000-0002-0000-0000-000019000000}"/>
    <dataValidation allowBlank="1" showInputMessage="1" showErrorMessage="1" prompt="Die Zwischensumme wird in der Zelle rechts automatisch berechnet." sqref="H42" xr:uid="{00000000-0002-0000-0000-00001A000000}"/>
    <dataValidation allowBlank="1" showInputMessage="1" showErrorMessage="1" prompt="Die Zwischensumme wird in dieser Zelle automatisch berechnet." sqref="I42" xr:uid="{00000000-0002-0000-0000-00001B000000}"/>
    <dataValidation allowBlank="1" showInputMessage="1" showErrorMessage="1" prompt="Geben Sie den Versandbetrag in der Zelle rechts ein." sqref="H43" xr:uid="{00000000-0002-0000-0000-000020000000}"/>
    <dataValidation allowBlank="1" showInputMessage="1" showErrorMessage="1" prompt="Geben Sie in dieser Zelle den Versandbetrag ein." sqref="I43" xr:uid="{00000000-0002-0000-0000-000021000000}"/>
    <dataValidation allowBlank="1" showInputMessage="1" showErrorMessage="1" prompt="Geben Sie die erhaltene Anzahlung in der Zelle rechts ein." sqref="H44" xr:uid="{00000000-0002-0000-0000-000022000000}"/>
    <dataValidation allowBlank="1" showInputMessage="1" showErrorMessage="1" prompt="Geben Sie die erhaltene Anzahlung in dieser Zelle ein." sqref="I44" xr:uid="{00000000-0002-0000-0000-000023000000}"/>
    <dataValidation allowBlank="1" showInputMessage="1" showErrorMessage="1" prompt="Die Summe wird in der Zelle rechts automatisch berechnet." sqref="H45" xr:uid="{00000000-0002-0000-0000-000024000000}"/>
    <dataValidation allowBlank="1" showInputMessage="1" showErrorMessage="1" prompt="Die Summe wird in dieser Zelle automatisch berechnet." sqref="I45" xr:uid="{00000000-0002-0000-0000-000025000000}"/>
    <dataValidation allowBlank="1" showInputMessage="1" showErrorMessage="1" prompt="Geben Sie im Text in dieser Zelle die Anzahl Tage, nach denen die Summe fällig ist, sowie den Prozentsatz für die Überziehungszinsen ein. Beispieldaten stehen in der Standardvorlage zur Verfügung." sqref="C47:D47" xr:uid="{00000000-0002-0000-0000-000027000000}"/>
    <dataValidation allowBlank="1" showInputMessage="1" showErrorMessage="1" prompt="Die Kundenadresse in dieser Zelle wird automatisch aktualisiert." sqref="D12:D13" xr:uid="{00000000-0002-0000-0000-000028000000}"/>
    <dataValidation allowBlank="1" showInputMessage="1" showErrorMessage="1" prompt="Ort, Bundesland und Postleitzahl des Kunden in dieser Zelle werden automatisch aktualisiert." sqref="D16" xr:uid="{00000000-0002-0000-0000-00002A000000}"/>
    <dataValidation allowBlank="1" showInputMessage="1" showErrorMessage="1" prompt="Erstellen Sie in dieser Arbeitsmappe eine Handelsrechnung. Geben Sie auf diesem Arbeitsblatt die Firmendetails und auf dem Arbeitsblatt &quot;Kunden&quot; die Kundendetails ein. Wählen Sie Zelle &quot;J1&quot; aus, um zum Arbeitsblatt &quot;Kunden&quot; zu navigieren" sqref="B1:B2" xr:uid="{00000000-0002-0000-0000-00002C000000}"/>
    <dataValidation allowBlank="1" showInputMessage="1" showErrorMessage="1" prompt="Die Kundenadresse in den Zellen C3 bis C6 wird automatisch aktualisiert." sqref="C17:C18" xr:uid="{00000000-0002-0000-0000-00002F000000}"/>
    <dataValidation allowBlank="1" showInputMessage="1" showErrorMessage="1" prompt="Navigationslink zum Arbeitsblatt &quot;Kunden&quot; Diese Zelle wird nicht gedruckt." sqref="N1:N2" xr:uid="{00000000-0002-0000-0000-000031000000}"/>
    <dataValidation allowBlank="1" showInputMessage="1" showErrorMessage="1" prompt="Der Name der Firma wird in dieser Zelle automatisch angefügt." sqref="E44:G44" xr:uid="{00000000-0002-0000-0000-000026000000}"/>
    <dataValidation allowBlank="1" showInputMessage="1" showErrorMessage="1" prompt="Geben Sie in diese Zelle die Website der rechnungstellenden Firma ein." sqref="I10:L10" xr:uid="{00000000-0002-0000-0000-000006000000}"/>
    <dataValidation allowBlank="1" showInputMessage="1" showErrorMessage="1" prompt="Geben Sie in diese Zelle den Namen der rechnungstellenden Firma ein: in den Zellen D1 bis G2 die Details der rechnungstellenden Firma und in den Zellen B3 bis H5 die Rechnungsdetails. Geben Sie die Rechnungsdetails in der Tabelle ab Zelle B7 ein." sqref="D9 C4:C9 C10:D10" xr:uid="{00000000-0002-0000-0000-000030000000}"/>
  </dataValidations>
  <hyperlinks>
    <hyperlink ref="N1" location="Kunden!A1" tooltip="Auswählen, um zum Arbeitsblatt &quot;Kunden&quot; zu navigieren" display="Kunden" xr:uid="{00000000-0004-0000-0000-000003000000}"/>
    <hyperlink ref="G7" r:id="rId1" xr:uid="{7671C339-283E-4BAA-9983-E94DA2D606FE}"/>
  </hyperlinks>
  <printOptions horizontalCentered="1"/>
  <pageMargins left="0.23622047244094491" right="0.23622047244094491" top="0.39370078740157483" bottom="0.39370078740157483" header="0.31496062992125984" footer="0.31496062992125984"/>
  <pageSetup paperSize="9" scale="64" orientation="portrait" r:id="rId2"/>
  <headerFooter differentFirst="1">
    <oddFooter>Page &amp;P of &amp;N</oddFooter>
  </headerFooter>
  <drawing r:id="rId3"/>
  <tableParts count="1">
    <tablePart r:id="rId4"/>
  </tableParts>
  <extLst>
    <ext xmlns:x14="http://schemas.microsoft.com/office/spreadsheetml/2009/9/main" uri="{CCE6A557-97BC-4b89-ADB6-D9C93CAAB3DF}">
      <x14:dataValidations xmlns:xm="http://schemas.microsoft.com/office/excel/2006/main" xWindow="207" yWindow="740" count="2">
        <x14:dataValidation type="list" allowBlank="1" showInputMessage="1" prompt="Wählen Sie in dieser Zelle den Kundennamen aus. Drücken Sie ALT+NACH-UNTEN, um die Dropdownliste zu öffnen, und dann EINGABE, um die Auswahl zu treffen. Fügen Sie dem Arbeitsblatt &quot;Kunden&quot; weitere Kunden hinzu, um die Auswahlliste zu erweitern." xr:uid="{8BDCA95B-35B3-4025-9482-9D11A680B77B}">
          <x14:formula1>
            <xm:f>Produkte!$B$3:$B$136</xm:f>
          </x14:formula1>
          <xm:sqref>D20:D40</xm:sqref>
        </x14:dataValidation>
        <x14:dataValidation type="list" allowBlank="1" showInputMessage="1" prompt="Wählen Sie in dieser Zelle den Kundennamen aus. Drücken Sie ALT+NACH-UNTEN, um die Dropdownliste zu öffnen, und dann EINGABE, um die Auswahl zu treffen. Fügen Sie dem Arbeitsblatt &quot;Kunden&quot; weitere Kunden hinzu, um die Auswahlliste zu erweitern." xr:uid="{469BF189-0EA9-4B32-8B7F-750789E0660D}">
          <x14:formula1>
            <xm:f>Produkte!$B$4:$B$136</xm:f>
          </x14:formula1>
          <xm:sqref>D41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2B3F61-F6A9-43CE-A4A7-82B269912F5D}">
  <sheetPr codeName="Tabelle5">
    <tabColor theme="4"/>
    <pageSetUpPr autoPageBreaks="0" fitToPage="1"/>
  </sheetPr>
  <dimension ref="A1:K141"/>
  <sheetViews>
    <sheetView showFormulas="1" showGridLines="0" topLeftCell="A25" zoomScaleNormal="100" workbookViewId="0">
      <selection activeCell="F38" sqref="F38"/>
    </sheetView>
  </sheetViews>
  <sheetFormatPr baseColWidth="10" defaultColWidth="9.28515625" defaultRowHeight="30" customHeight="1"/>
  <cols>
    <col min="1" max="1" width="2.7109375" customWidth="1"/>
    <col min="2" max="2" width="26" customWidth="1"/>
    <col min="3" max="3" width="14.85546875" customWidth="1"/>
    <col min="4" max="4" width="10" style="65" customWidth="1"/>
    <col min="5" max="5" width="7.5703125" customWidth="1"/>
    <col min="6" max="6" width="9.85546875" style="58" customWidth="1"/>
    <col min="7" max="7" width="12.85546875" customWidth="1"/>
    <col min="8" max="8" width="25.5703125" customWidth="1"/>
    <col min="9" max="9" width="22.7109375" customWidth="1"/>
    <col min="10" max="10" width="2.7109375" customWidth="1"/>
    <col min="11" max="11" width="22.7109375" customWidth="1"/>
  </cols>
  <sheetData>
    <row r="1" spans="1:11" ht="42" customHeight="1">
      <c r="B1" s="3" t="s">
        <v>38</v>
      </c>
      <c r="K1" s="7" t="s">
        <v>13</v>
      </c>
    </row>
    <row r="2" spans="1:11" ht="30" customHeight="1">
      <c r="B2" s="27" t="s">
        <v>14</v>
      </c>
      <c r="C2" s="27" t="s">
        <v>35</v>
      </c>
      <c r="D2" s="69" t="s">
        <v>32</v>
      </c>
      <c r="E2" s="27" t="s">
        <v>31</v>
      </c>
      <c r="F2" s="59" t="s">
        <v>33</v>
      </c>
      <c r="G2" s="27" t="s">
        <v>34</v>
      </c>
      <c r="H2" t="s">
        <v>92</v>
      </c>
      <c r="I2" t="s">
        <v>37</v>
      </c>
    </row>
    <row r="3" spans="1:11" ht="15.75" hidden="1" customHeight="1">
      <c r="A3">
        <v>1</v>
      </c>
      <c r="B3" t="s">
        <v>166</v>
      </c>
      <c r="C3" t="s">
        <v>36</v>
      </c>
      <c r="D3" s="157">
        <v>19</v>
      </c>
      <c r="E3" s="47">
        <v>7.0000000000000007E-2</v>
      </c>
      <c r="F3" s="61">
        <v>24</v>
      </c>
      <c r="G3" s="28"/>
      <c r="H3" s="5"/>
    </row>
    <row r="4" spans="1:11" ht="15.75" customHeight="1">
      <c r="A4">
        <v>2</v>
      </c>
      <c r="B4" t="s">
        <v>132</v>
      </c>
      <c r="C4" t="s">
        <v>133</v>
      </c>
      <c r="D4" s="67">
        <v>12.04</v>
      </c>
      <c r="E4" s="47">
        <v>7.0000000000000007E-2</v>
      </c>
      <c r="F4" s="57">
        <v>14.5</v>
      </c>
      <c r="G4" s="28"/>
      <c r="H4" s="5"/>
    </row>
    <row r="5" spans="1:11" ht="15.75" customHeight="1">
      <c r="A5">
        <v>3</v>
      </c>
      <c r="B5" t="s">
        <v>72</v>
      </c>
      <c r="C5" t="s">
        <v>73</v>
      </c>
      <c r="D5" s="67"/>
      <c r="E5" s="47">
        <v>0.19</v>
      </c>
      <c r="F5" s="57">
        <v>6</v>
      </c>
      <c r="G5" s="28"/>
      <c r="H5" s="5"/>
    </row>
    <row r="6" spans="1:11" ht="15.75" hidden="1" customHeight="1">
      <c r="A6">
        <v>4</v>
      </c>
      <c r="B6" t="s">
        <v>205</v>
      </c>
      <c r="C6" t="s">
        <v>36</v>
      </c>
      <c r="D6" s="67"/>
      <c r="E6" s="47">
        <v>0.19</v>
      </c>
      <c r="F6" s="57">
        <v>29.9</v>
      </c>
      <c r="G6" s="28"/>
      <c r="H6" s="5"/>
    </row>
    <row r="7" spans="1:11" ht="15.75" hidden="1" customHeight="1">
      <c r="A7">
        <v>5</v>
      </c>
      <c r="B7" t="s">
        <v>207</v>
      </c>
      <c r="C7" t="s">
        <v>36</v>
      </c>
      <c r="D7" s="67">
        <v>39.799999999999997</v>
      </c>
      <c r="E7" s="47">
        <v>0.19</v>
      </c>
      <c r="F7" s="57">
        <v>47.8</v>
      </c>
      <c r="G7" s="28"/>
      <c r="H7" s="5"/>
    </row>
    <row r="8" spans="1:11" ht="15.75" hidden="1" customHeight="1">
      <c r="A8">
        <v>6</v>
      </c>
      <c r="B8" t="s">
        <v>204</v>
      </c>
      <c r="C8" t="s">
        <v>50</v>
      </c>
      <c r="D8" s="67"/>
      <c r="E8" s="47">
        <v>0.19</v>
      </c>
      <c r="F8" s="57">
        <v>29.9</v>
      </c>
      <c r="G8" s="28"/>
      <c r="H8" s="5"/>
    </row>
    <row r="9" spans="1:11" ht="15.75" hidden="1" customHeight="1">
      <c r="A9">
        <v>7</v>
      </c>
      <c r="B9" t="s">
        <v>206</v>
      </c>
      <c r="C9" t="s">
        <v>50</v>
      </c>
      <c r="D9" s="67">
        <v>40.799999999999997</v>
      </c>
      <c r="E9" s="47">
        <v>0.19</v>
      </c>
      <c r="F9" s="57">
        <v>47.8</v>
      </c>
      <c r="G9" s="28"/>
      <c r="H9" s="5"/>
    </row>
    <row r="10" spans="1:11" ht="15.75" customHeight="1">
      <c r="A10">
        <v>8</v>
      </c>
      <c r="B10" t="s">
        <v>66</v>
      </c>
      <c r="C10" t="s">
        <v>62</v>
      </c>
      <c r="D10" s="67">
        <v>16.21</v>
      </c>
      <c r="E10" s="47">
        <v>7.0000000000000007E-2</v>
      </c>
      <c r="F10" s="57">
        <v>22</v>
      </c>
      <c r="G10" s="28"/>
      <c r="H10" s="5"/>
    </row>
    <row r="11" spans="1:11" ht="15.75" customHeight="1">
      <c r="B11" s="114" t="s">
        <v>270</v>
      </c>
      <c r="C11" t="s">
        <v>273</v>
      </c>
      <c r="D11" s="67">
        <v>13.56</v>
      </c>
      <c r="E11" s="47">
        <v>7.0000000000000007E-2</v>
      </c>
      <c r="F11" s="57">
        <v>19</v>
      </c>
      <c r="G11" s="28"/>
      <c r="H11" s="5"/>
    </row>
    <row r="12" spans="1:11" ht="15.75" customHeight="1">
      <c r="A12">
        <v>9</v>
      </c>
      <c r="B12" t="s">
        <v>245</v>
      </c>
      <c r="C12" t="s">
        <v>36</v>
      </c>
      <c r="D12" s="67">
        <v>20</v>
      </c>
      <c r="E12" s="47">
        <v>7.0000000000000007E-2</v>
      </c>
      <c r="F12" s="57">
        <v>25</v>
      </c>
      <c r="G12" s="28"/>
      <c r="H12" s="5"/>
    </row>
    <row r="13" spans="1:11" ht="15.75" customHeight="1">
      <c r="B13" t="s">
        <v>254</v>
      </c>
      <c r="C13" t="s">
        <v>255</v>
      </c>
      <c r="D13" s="67"/>
      <c r="E13" s="47">
        <v>0.19</v>
      </c>
      <c r="F13" s="57">
        <v>19</v>
      </c>
      <c r="G13" s="28"/>
      <c r="H13" s="5"/>
    </row>
    <row r="14" spans="1:11" ht="15.75" customHeight="1">
      <c r="A14">
        <v>11</v>
      </c>
      <c r="B14" s="114" t="s">
        <v>69</v>
      </c>
      <c r="C14" t="s">
        <v>70</v>
      </c>
      <c r="D14" s="67">
        <v>26</v>
      </c>
      <c r="E14" s="47">
        <v>0.19</v>
      </c>
      <c r="F14" s="57">
        <v>30</v>
      </c>
      <c r="G14" s="28"/>
      <c r="H14" s="5"/>
    </row>
    <row r="15" spans="1:11" ht="15.75" hidden="1" customHeight="1">
      <c r="A15">
        <v>12</v>
      </c>
      <c r="B15" t="s">
        <v>213</v>
      </c>
      <c r="C15" t="s">
        <v>214</v>
      </c>
      <c r="D15" s="67">
        <v>15</v>
      </c>
      <c r="E15" s="47">
        <v>0.19</v>
      </c>
      <c r="F15" s="57"/>
      <c r="G15" s="28"/>
      <c r="H15" s="5"/>
    </row>
    <row r="16" spans="1:11" ht="15.75" customHeight="1">
      <c r="A16">
        <v>13</v>
      </c>
      <c r="B16" t="s">
        <v>102</v>
      </c>
      <c r="C16" t="s">
        <v>103</v>
      </c>
      <c r="D16" s="67">
        <v>26.89</v>
      </c>
      <c r="E16" s="47">
        <v>0.19</v>
      </c>
      <c r="F16" s="57">
        <v>40</v>
      </c>
      <c r="G16" s="28"/>
      <c r="H16" s="5"/>
    </row>
    <row r="17" spans="1:8" ht="15.75" hidden="1" customHeight="1">
      <c r="A17">
        <v>14</v>
      </c>
      <c r="B17" t="s">
        <v>215</v>
      </c>
      <c r="C17" t="s">
        <v>49</v>
      </c>
      <c r="D17" s="67">
        <v>15</v>
      </c>
      <c r="E17" s="47">
        <v>0.19</v>
      </c>
      <c r="F17" s="57"/>
      <c r="G17" s="28"/>
      <c r="H17" s="5"/>
    </row>
    <row r="18" spans="1:8" ht="15.75" customHeight="1">
      <c r="A18">
        <v>15</v>
      </c>
      <c r="B18" t="s">
        <v>98</v>
      </c>
      <c r="C18" t="s">
        <v>99</v>
      </c>
      <c r="D18" s="67">
        <v>13.91</v>
      </c>
      <c r="E18" s="62">
        <v>7.0000000000000007E-2</v>
      </c>
      <c r="F18" s="57">
        <v>17</v>
      </c>
      <c r="G18" s="28"/>
      <c r="H18" s="5"/>
    </row>
    <row r="19" spans="1:8" ht="15.75" hidden="1" customHeight="1">
      <c r="A19">
        <v>16</v>
      </c>
      <c r="B19" t="s">
        <v>147</v>
      </c>
      <c r="C19" t="s">
        <v>79</v>
      </c>
      <c r="D19" s="67">
        <v>20</v>
      </c>
      <c r="E19" s="62">
        <v>0.19</v>
      </c>
      <c r="F19" s="57">
        <v>26</v>
      </c>
      <c r="G19" s="28"/>
      <c r="H19" s="5"/>
    </row>
    <row r="20" spans="1:8" ht="15.75" customHeight="1">
      <c r="A20">
        <v>17</v>
      </c>
      <c r="B20" t="s">
        <v>314</v>
      </c>
      <c r="C20" t="s">
        <v>62</v>
      </c>
      <c r="D20" s="67">
        <v>16.27</v>
      </c>
      <c r="E20" s="47">
        <v>7.0000000000000007E-2</v>
      </c>
      <c r="F20" s="57">
        <v>22</v>
      </c>
      <c r="G20" s="28"/>
      <c r="H20" s="5"/>
    </row>
    <row r="21" spans="1:8" ht="15.75" hidden="1" customHeight="1">
      <c r="A21">
        <v>18</v>
      </c>
      <c r="B21" t="s">
        <v>177</v>
      </c>
      <c r="C21" t="s">
        <v>178</v>
      </c>
      <c r="D21" s="67">
        <v>8.41</v>
      </c>
      <c r="E21" s="47">
        <v>7.0000000000000007E-2</v>
      </c>
      <c r="F21" s="60">
        <v>12</v>
      </c>
      <c r="G21" s="28"/>
      <c r="H21" s="5"/>
    </row>
    <row r="22" spans="1:8" ht="15.75" customHeight="1">
      <c r="A22">
        <v>19</v>
      </c>
      <c r="B22" t="s">
        <v>65</v>
      </c>
      <c r="C22" t="s">
        <v>178</v>
      </c>
      <c r="D22" s="67">
        <v>14.02</v>
      </c>
      <c r="E22" s="47">
        <v>7.0000000000000007E-2</v>
      </c>
      <c r="F22" s="57">
        <v>20</v>
      </c>
      <c r="G22" s="28"/>
      <c r="H22" s="5"/>
    </row>
    <row r="23" spans="1:8" ht="15.75" hidden="1" customHeight="1">
      <c r="A23">
        <v>20</v>
      </c>
      <c r="B23" t="s">
        <v>148</v>
      </c>
      <c r="C23" t="s">
        <v>135</v>
      </c>
      <c r="D23" s="67">
        <v>12.5</v>
      </c>
      <c r="E23" s="47">
        <v>0.19</v>
      </c>
      <c r="F23" s="57">
        <v>15</v>
      </c>
      <c r="G23" s="28"/>
      <c r="H23" s="5"/>
    </row>
    <row r="24" spans="1:8" ht="15.75" customHeight="1">
      <c r="A24">
        <v>21</v>
      </c>
      <c r="B24" t="s">
        <v>149</v>
      </c>
      <c r="C24" t="s">
        <v>101</v>
      </c>
      <c r="D24" s="67">
        <v>19</v>
      </c>
      <c r="E24" s="47">
        <v>0.19</v>
      </c>
      <c r="F24" s="57">
        <v>23</v>
      </c>
      <c r="G24" s="28"/>
      <c r="H24" s="5"/>
    </row>
    <row r="25" spans="1:8" ht="15.75" customHeight="1">
      <c r="A25">
        <v>22</v>
      </c>
      <c r="B25" t="s">
        <v>88</v>
      </c>
      <c r="C25" t="s">
        <v>75</v>
      </c>
      <c r="D25" s="67">
        <v>8.8699999999999992</v>
      </c>
      <c r="E25" s="47">
        <v>0.19</v>
      </c>
      <c r="F25" s="57">
        <v>13</v>
      </c>
      <c r="G25" s="28"/>
      <c r="H25" s="5"/>
    </row>
    <row r="26" spans="1:8" s="138" customFormat="1" ht="9.75" customHeight="1">
      <c r="A26" s="138">
        <v>23</v>
      </c>
      <c r="B26" s="138" t="s">
        <v>67</v>
      </c>
      <c r="C26" s="138" t="s">
        <v>68</v>
      </c>
      <c r="D26" s="139">
        <v>11.7</v>
      </c>
      <c r="E26" s="140">
        <v>7.0000000000000007E-2</v>
      </c>
      <c r="F26" s="141">
        <v>16</v>
      </c>
      <c r="G26" s="142"/>
      <c r="H26" s="143"/>
    </row>
    <row r="27" spans="1:8" ht="15.75" customHeight="1">
      <c r="A27">
        <v>24</v>
      </c>
      <c r="B27" t="s">
        <v>74</v>
      </c>
      <c r="C27" t="s">
        <v>75</v>
      </c>
      <c r="D27" s="67">
        <v>10.31</v>
      </c>
      <c r="E27" s="47">
        <v>7.0000000000000007E-2</v>
      </c>
      <c r="F27" s="57">
        <v>14</v>
      </c>
      <c r="G27" s="28"/>
      <c r="H27" s="5"/>
    </row>
    <row r="28" spans="1:8" ht="15.75" customHeight="1">
      <c r="A28">
        <v>25</v>
      </c>
      <c r="B28" t="s">
        <v>167</v>
      </c>
      <c r="C28" t="s">
        <v>64</v>
      </c>
      <c r="D28" s="67">
        <v>10.3</v>
      </c>
      <c r="E28" s="47">
        <v>7.0000000000000007E-2</v>
      </c>
      <c r="F28" s="57">
        <v>14</v>
      </c>
      <c r="G28" s="28"/>
      <c r="H28" s="5"/>
    </row>
    <row r="29" spans="1:8" ht="15.75" hidden="1" customHeight="1">
      <c r="A29">
        <v>26</v>
      </c>
      <c r="B29" t="s">
        <v>244</v>
      </c>
      <c r="C29">
        <v>5</v>
      </c>
      <c r="D29" s="67">
        <v>10.76</v>
      </c>
      <c r="E29" s="47">
        <v>0.19</v>
      </c>
      <c r="F29" s="57">
        <v>12.85</v>
      </c>
      <c r="G29" s="28"/>
      <c r="H29" s="5"/>
    </row>
    <row r="30" spans="1:8" ht="15.75" customHeight="1">
      <c r="B30" t="s">
        <v>262</v>
      </c>
      <c r="C30" t="s">
        <v>59</v>
      </c>
      <c r="D30" s="67">
        <v>28.02</v>
      </c>
      <c r="E30" s="47">
        <v>7.0000000000000007E-2</v>
      </c>
      <c r="F30" s="57">
        <v>33</v>
      </c>
      <c r="G30" s="28"/>
      <c r="H30" s="5"/>
    </row>
    <row r="31" spans="1:8" ht="15.75" customHeight="1">
      <c r="B31" t="s">
        <v>309</v>
      </c>
      <c r="C31" t="s">
        <v>79</v>
      </c>
      <c r="D31" s="67">
        <v>14.02</v>
      </c>
      <c r="E31" s="47">
        <v>7.0000000000000007E-2</v>
      </c>
      <c r="F31" s="57">
        <v>19</v>
      </c>
      <c r="G31" s="28"/>
      <c r="H31" s="5"/>
    </row>
    <row r="32" spans="1:8" ht="15.75" customHeight="1">
      <c r="A32">
        <v>27</v>
      </c>
      <c r="B32" t="s">
        <v>203</v>
      </c>
      <c r="C32" t="s">
        <v>36</v>
      </c>
      <c r="D32" s="67">
        <v>24</v>
      </c>
      <c r="E32" s="47">
        <v>7.0000000000000007E-2</v>
      </c>
      <c r="F32" s="57">
        <v>30</v>
      </c>
      <c r="G32" s="28"/>
      <c r="H32" s="5"/>
    </row>
    <row r="33" spans="1:8" ht="15.75" customHeight="1">
      <c r="A33">
        <v>28</v>
      </c>
      <c r="B33" t="s">
        <v>377</v>
      </c>
      <c r="C33" t="s">
        <v>59</v>
      </c>
      <c r="D33" s="67"/>
      <c r="E33" s="47">
        <v>0.19</v>
      </c>
      <c r="F33" s="57">
        <v>19</v>
      </c>
      <c r="G33" s="28"/>
      <c r="H33" s="5"/>
    </row>
    <row r="34" spans="1:8" ht="15.75" customHeight="1">
      <c r="A34">
        <v>29</v>
      </c>
      <c r="B34" t="s">
        <v>229</v>
      </c>
      <c r="C34" t="s">
        <v>135</v>
      </c>
      <c r="D34" s="67"/>
      <c r="E34" s="47">
        <v>7.0000000000000007E-2</v>
      </c>
      <c r="F34" s="57">
        <v>16</v>
      </c>
      <c r="G34" s="28"/>
      <c r="H34" s="5"/>
    </row>
    <row r="35" spans="1:8" ht="15.75" hidden="1" customHeight="1">
      <c r="A35">
        <v>30</v>
      </c>
      <c r="B35" t="s">
        <v>126</v>
      </c>
      <c r="C35" t="s">
        <v>62</v>
      </c>
      <c r="D35" s="67"/>
      <c r="E35" s="47">
        <v>0.19</v>
      </c>
      <c r="F35" s="57">
        <v>45</v>
      </c>
      <c r="G35" s="28"/>
      <c r="H35" s="5"/>
    </row>
    <row r="36" spans="1:8" ht="15.75" customHeight="1">
      <c r="A36">
        <v>31</v>
      </c>
      <c r="B36" t="s">
        <v>44</v>
      </c>
      <c r="C36" t="s">
        <v>45</v>
      </c>
      <c r="D36" s="67">
        <v>18.53</v>
      </c>
      <c r="E36" s="47">
        <v>7.0000000000000007E-2</v>
      </c>
      <c r="F36" s="57">
        <v>24</v>
      </c>
      <c r="G36" s="28"/>
      <c r="H36" s="5"/>
    </row>
    <row r="37" spans="1:8" ht="15.75" hidden="1" customHeight="1">
      <c r="A37">
        <v>32</v>
      </c>
      <c r="B37" t="s">
        <v>78</v>
      </c>
      <c r="C37" t="s">
        <v>79</v>
      </c>
      <c r="D37" s="67">
        <v>17</v>
      </c>
      <c r="E37" s="47">
        <v>0.19</v>
      </c>
      <c r="F37" s="57">
        <v>22</v>
      </c>
      <c r="G37" s="28"/>
      <c r="H37" s="5"/>
    </row>
    <row r="38" spans="1:8" ht="15.75" customHeight="1">
      <c r="A38">
        <v>33</v>
      </c>
      <c r="B38" t="s">
        <v>139</v>
      </c>
      <c r="C38" t="s">
        <v>70</v>
      </c>
      <c r="D38" s="67">
        <v>49.9</v>
      </c>
      <c r="E38" s="56">
        <v>7.0000000000000007E-2</v>
      </c>
      <c r="F38" s="57">
        <v>60</v>
      </c>
      <c r="G38" s="28"/>
      <c r="H38" s="5"/>
    </row>
    <row r="39" spans="1:8" ht="15.75" customHeight="1">
      <c r="A39">
        <v>34</v>
      </c>
      <c r="B39" t="s">
        <v>80</v>
      </c>
      <c r="C39" t="s">
        <v>79</v>
      </c>
      <c r="D39" s="67">
        <v>18</v>
      </c>
      <c r="E39" s="62">
        <v>0.19</v>
      </c>
      <c r="F39" s="57">
        <v>23</v>
      </c>
      <c r="G39" s="28"/>
      <c r="H39" s="5"/>
    </row>
    <row r="40" spans="1:8" ht="15.75" hidden="1" customHeight="1">
      <c r="A40">
        <v>35</v>
      </c>
      <c r="B40" t="s">
        <v>130</v>
      </c>
      <c r="C40" t="s">
        <v>47</v>
      </c>
      <c r="D40" s="67">
        <v>8.32</v>
      </c>
      <c r="E40" s="47">
        <v>0.19</v>
      </c>
      <c r="F40" s="57">
        <v>13</v>
      </c>
      <c r="G40" s="28"/>
      <c r="H40" s="5"/>
    </row>
    <row r="41" spans="1:8" ht="15.75" customHeight="1">
      <c r="A41">
        <v>36</v>
      </c>
      <c r="B41" t="s">
        <v>198</v>
      </c>
      <c r="C41" t="s">
        <v>101</v>
      </c>
      <c r="D41" s="67">
        <v>14.2</v>
      </c>
      <c r="E41" s="63">
        <v>7.0000000000000007E-2</v>
      </c>
      <c r="F41" s="57">
        <v>17.5</v>
      </c>
      <c r="G41" s="28"/>
      <c r="H41" s="5"/>
    </row>
    <row r="42" spans="1:8" ht="15.75" hidden="1" customHeight="1">
      <c r="A42">
        <v>37</v>
      </c>
      <c r="B42" t="s">
        <v>199</v>
      </c>
      <c r="C42" t="s">
        <v>159</v>
      </c>
      <c r="D42" s="67">
        <v>8.5</v>
      </c>
      <c r="E42" s="47">
        <v>0.19</v>
      </c>
      <c r="F42" s="57">
        <v>10.5</v>
      </c>
      <c r="G42" s="28"/>
      <c r="H42" s="5"/>
    </row>
    <row r="43" spans="1:8" ht="15.75" customHeight="1">
      <c r="A43">
        <v>38</v>
      </c>
      <c r="B43" t="s">
        <v>58</v>
      </c>
      <c r="C43" t="s">
        <v>59</v>
      </c>
      <c r="D43" s="67">
        <v>17.28</v>
      </c>
      <c r="E43" s="47">
        <v>7.0000000000000007E-2</v>
      </c>
      <c r="F43" s="57">
        <v>22</v>
      </c>
      <c r="G43" s="28"/>
      <c r="H43" s="5"/>
    </row>
    <row r="44" spans="1:8" ht="15.75" customHeight="1">
      <c r="A44">
        <v>39</v>
      </c>
      <c r="B44" t="s">
        <v>82</v>
      </c>
      <c r="C44" t="s">
        <v>83</v>
      </c>
      <c r="D44" s="67">
        <v>21.78</v>
      </c>
      <c r="E44" s="47">
        <v>7.0000000000000007E-2</v>
      </c>
      <c r="F44" s="57">
        <v>26</v>
      </c>
      <c r="G44" s="28"/>
      <c r="H44" s="5"/>
    </row>
    <row r="45" spans="1:8" ht="15.75" customHeight="1">
      <c r="A45">
        <v>40</v>
      </c>
      <c r="B45" s="51" t="s">
        <v>116</v>
      </c>
      <c r="C45" t="s">
        <v>62</v>
      </c>
      <c r="D45" s="67">
        <v>26.22</v>
      </c>
      <c r="E45" s="62">
        <v>7.0000000000000007E-2</v>
      </c>
      <c r="F45" s="57">
        <v>32</v>
      </c>
      <c r="G45" s="28"/>
      <c r="H45" s="5"/>
    </row>
    <row r="46" spans="1:8" ht="15.75" customHeight="1">
      <c r="A46">
        <v>41</v>
      </c>
      <c r="B46" t="s">
        <v>201</v>
      </c>
      <c r="C46" t="s">
        <v>59</v>
      </c>
      <c r="D46" s="67">
        <v>20</v>
      </c>
      <c r="E46" s="47">
        <v>7.0000000000000007E-2</v>
      </c>
      <c r="F46" s="57">
        <v>27</v>
      </c>
      <c r="G46" s="28"/>
      <c r="H46" s="5"/>
    </row>
    <row r="47" spans="1:8" ht="15.75" customHeight="1">
      <c r="B47" t="s">
        <v>271</v>
      </c>
      <c r="C47" t="s">
        <v>62</v>
      </c>
      <c r="D47" s="67">
        <v>23.36</v>
      </c>
      <c r="E47" s="47">
        <v>7.0000000000000007E-2</v>
      </c>
      <c r="F47" s="57">
        <v>30</v>
      </c>
      <c r="G47" s="28"/>
      <c r="H47" s="5"/>
    </row>
    <row r="48" spans="1:8" ht="15.75" customHeight="1">
      <c r="B48" t="s">
        <v>267</v>
      </c>
      <c r="C48" t="s">
        <v>268</v>
      </c>
      <c r="D48" s="67">
        <v>20.9</v>
      </c>
      <c r="E48" s="47">
        <v>0.19</v>
      </c>
      <c r="F48" s="57">
        <v>22</v>
      </c>
      <c r="G48" s="28"/>
      <c r="H48" s="5"/>
    </row>
    <row r="49" spans="1:8" ht="15.75" customHeight="1">
      <c r="B49" t="s">
        <v>274</v>
      </c>
      <c r="C49" t="s">
        <v>269</v>
      </c>
      <c r="D49" s="67">
        <v>29.9</v>
      </c>
      <c r="E49" s="47">
        <v>7.0000000000000007E-2</v>
      </c>
      <c r="F49" s="57">
        <v>49</v>
      </c>
      <c r="G49" s="28"/>
      <c r="H49" s="5"/>
    </row>
    <row r="50" spans="1:8" ht="15.75" customHeight="1">
      <c r="A50">
        <v>42</v>
      </c>
      <c r="B50" t="s">
        <v>246</v>
      </c>
      <c r="C50" t="s">
        <v>247</v>
      </c>
      <c r="D50" s="67">
        <v>19</v>
      </c>
      <c r="E50" s="47">
        <v>7.0000000000000007E-2</v>
      </c>
      <c r="F50" s="57">
        <v>24</v>
      </c>
      <c r="G50" s="28"/>
      <c r="H50" s="5"/>
    </row>
    <row r="51" spans="1:8" ht="15.75" customHeight="1">
      <c r="A51">
        <v>43</v>
      </c>
      <c r="B51" t="s">
        <v>39</v>
      </c>
      <c r="C51" t="s">
        <v>40</v>
      </c>
      <c r="D51" s="67">
        <v>10</v>
      </c>
      <c r="E51" s="47">
        <v>0.19</v>
      </c>
      <c r="F51" s="57">
        <v>15</v>
      </c>
      <c r="G51" s="28"/>
      <c r="H51" s="5"/>
    </row>
    <row r="52" spans="1:8" ht="15.75" customHeight="1">
      <c r="B52" t="s">
        <v>272</v>
      </c>
      <c r="C52" t="s">
        <v>59</v>
      </c>
      <c r="D52" s="67">
        <v>14.5</v>
      </c>
      <c r="E52" s="47">
        <v>7.0000000000000007E-2</v>
      </c>
      <c r="F52" s="57">
        <v>19</v>
      </c>
      <c r="G52" s="28"/>
      <c r="H52" s="5"/>
    </row>
    <row r="53" spans="1:8" ht="15.75" customHeight="1">
      <c r="B53" t="s">
        <v>360</v>
      </c>
      <c r="C53" t="s">
        <v>361</v>
      </c>
      <c r="D53" s="67"/>
      <c r="E53" s="47"/>
      <c r="F53" s="57">
        <v>16</v>
      </c>
      <c r="G53" s="28"/>
      <c r="H53" s="5"/>
    </row>
    <row r="54" spans="1:8" ht="15.75" customHeight="1">
      <c r="B54" t="s">
        <v>253</v>
      </c>
      <c r="C54" t="s">
        <v>36</v>
      </c>
      <c r="D54" s="67"/>
      <c r="E54" s="47">
        <v>0.19</v>
      </c>
      <c r="F54" s="57">
        <v>25</v>
      </c>
      <c r="G54" s="28"/>
      <c r="H54" s="5"/>
    </row>
    <row r="55" spans="1:8" ht="15.75" customHeight="1">
      <c r="B55" t="s">
        <v>321</v>
      </c>
      <c r="C55" t="s">
        <v>322</v>
      </c>
      <c r="D55" s="67"/>
      <c r="E55" s="47"/>
      <c r="F55" s="57">
        <v>19</v>
      </c>
      <c r="G55" s="28"/>
      <c r="H55" s="5"/>
    </row>
    <row r="56" spans="1:8" ht="15.75" customHeight="1">
      <c r="A56">
        <v>44</v>
      </c>
      <c r="B56" t="s">
        <v>112</v>
      </c>
      <c r="C56" t="s">
        <v>111</v>
      </c>
      <c r="D56" s="67"/>
      <c r="E56" s="62">
        <v>0.19</v>
      </c>
      <c r="F56" s="57">
        <v>4</v>
      </c>
      <c r="G56" s="28"/>
      <c r="H56" s="5"/>
    </row>
    <row r="57" spans="1:8" ht="15.75" customHeight="1">
      <c r="A57">
        <v>45</v>
      </c>
      <c r="B57" t="s">
        <v>56</v>
      </c>
      <c r="C57" t="s">
        <v>57</v>
      </c>
      <c r="D57" s="67">
        <v>19.8</v>
      </c>
      <c r="E57" s="47">
        <v>7.0000000000000007E-2</v>
      </c>
      <c r="F57" s="57">
        <v>25</v>
      </c>
      <c r="G57" s="28"/>
      <c r="H57" s="5"/>
    </row>
    <row r="58" spans="1:8" ht="15.75" customHeight="1">
      <c r="B58" t="s">
        <v>287</v>
      </c>
      <c r="C58" t="s">
        <v>279</v>
      </c>
      <c r="D58" s="67"/>
      <c r="E58" s="47">
        <v>7.0000000000000007E-2</v>
      </c>
      <c r="F58" s="57">
        <v>7</v>
      </c>
      <c r="G58" s="28"/>
      <c r="H58" s="5"/>
    </row>
    <row r="59" spans="1:8" ht="15.75" customHeight="1">
      <c r="B59" t="s">
        <v>288</v>
      </c>
      <c r="C59" t="s">
        <v>280</v>
      </c>
      <c r="D59" s="67"/>
      <c r="E59" s="47">
        <v>7.0000000000000007E-2</v>
      </c>
      <c r="F59" s="57">
        <v>15</v>
      </c>
      <c r="G59" s="28"/>
      <c r="H59" s="5"/>
    </row>
    <row r="60" spans="1:8" ht="15.75" customHeight="1">
      <c r="A60">
        <v>46</v>
      </c>
      <c r="B60" t="s">
        <v>194</v>
      </c>
      <c r="C60" t="s">
        <v>202</v>
      </c>
      <c r="D60" s="67">
        <v>14.7</v>
      </c>
      <c r="E60" s="47">
        <v>7.0000000000000007E-2</v>
      </c>
      <c r="F60" s="57">
        <v>19</v>
      </c>
      <c r="G60" s="28"/>
      <c r="H60" s="5"/>
    </row>
    <row r="61" spans="1:8" ht="15.75" customHeight="1">
      <c r="A61">
        <v>47</v>
      </c>
      <c r="B61" t="s">
        <v>114</v>
      </c>
      <c r="C61" t="s">
        <v>115</v>
      </c>
      <c r="D61" s="67">
        <v>17</v>
      </c>
      <c r="E61" s="47">
        <v>7.0000000000000007E-2</v>
      </c>
      <c r="F61" s="57">
        <v>23</v>
      </c>
      <c r="G61" s="28"/>
      <c r="H61" s="5"/>
    </row>
    <row r="62" spans="1:8" ht="15.75" customHeight="1">
      <c r="A62">
        <v>48</v>
      </c>
      <c r="B62" t="s">
        <v>87</v>
      </c>
      <c r="C62" t="s">
        <v>36</v>
      </c>
      <c r="D62" s="67">
        <v>37</v>
      </c>
      <c r="E62" s="47">
        <v>7.0000000000000007E-2</v>
      </c>
      <c r="F62" s="57">
        <v>40</v>
      </c>
      <c r="G62" s="28"/>
      <c r="H62" s="5"/>
    </row>
    <row r="63" spans="1:8" ht="15.75" customHeight="1">
      <c r="A63">
        <v>49</v>
      </c>
      <c r="B63" t="s">
        <v>63</v>
      </c>
      <c r="C63" t="s">
        <v>64</v>
      </c>
      <c r="D63" s="67">
        <v>16.100000000000001</v>
      </c>
      <c r="E63" s="47">
        <v>7.0000000000000007E-2</v>
      </c>
      <c r="F63" s="57">
        <v>22</v>
      </c>
      <c r="G63" s="28"/>
      <c r="H63" s="5"/>
    </row>
    <row r="64" spans="1:8" ht="15.75" customHeight="1">
      <c r="A64">
        <v>50</v>
      </c>
      <c r="B64" t="s">
        <v>212</v>
      </c>
      <c r="C64" t="s">
        <v>79</v>
      </c>
      <c r="D64" s="67">
        <v>17.39</v>
      </c>
      <c r="E64" s="47">
        <v>0.19</v>
      </c>
      <c r="F64" s="57">
        <v>26</v>
      </c>
      <c r="G64" s="28"/>
      <c r="H64" s="5"/>
    </row>
    <row r="65" spans="1:8" ht="15.75" customHeight="1">
      <c r="A65">
        <v>51</v>
      </c>
      <c r="B65" t="s">
        <v>211</v>
      </c>
      <c r="C65" t="s">
        <v>49</v>
      </c>
      <c r="D65" s="67">
        <v>80</v>
      </c>
      <c r="E65" s="47">
        <v>0.19</v>
      </c>
      <c r="F65" s="57">
        <v>105</v>
      </c>
      <c r="G65" s="28"/>
      <c r="H65" s="5"/>
    </row>
    <row r="66" spans="1:8" ht="15.75" customHeight="1">
      <c r="A66">
        <v>52</v>
      </c>
      <c r="B66" t="s">
        <v>216</v>
      </c>
      <c r="C66" t="s">
        <v>36</v>
      </c>
      <c r="D66" s="67">
        <v>12.5</v>
      </c>
      <c r="E66" s="47">
        <v>7.0000000000000007E-2</v>
      </c>
      <c r="F66" s="57">
        <v>19</v>
      </c>
      <c r="G66" s="28"/>
      <c r="H66" s="5"/>
    </row>
    <row r="67" spans="1:8" ht="15.75" customHeight="1">
      <c r="A67">
        <v>53</v>
      </c>
      <c r="B67" t="s">
        <v>184</v>
      </c>
      <c r="C67" t="s">
        <v>36</v>
      </c>
      <c r="D67" s="67">
        <v>18</v>
      </c>
      <c r="E67" s="47">
        <v>7.0000000000000007E-2</v>
      </c>
      <c r="F67" s="57">
        <v>25</v>
      </c>
      <c r="G67" s="28"/>
      <c r="H67" s="5"/>
    </row>
    <row r="68" spans="1:8" ht="15.75" customHeight="1">
      <c r="A68">
        <v>54</v>
      </c>
      <c r="B68" t="s">
        <v>165</v>
      </c>
      <c r="C68" t="s">
        <v>36</v>
      </c>
      <c r="D68" s="68">
        <v>15.39</v>
      </c>
      <c r="E68" s="48">
        <v>7.0000000000000007E-2</v>
      </c>
      <c r="F68" s="60">
        <v>25</v>
      </c>
      <c r="G68" s="28"/>
      <c r="H68" s="5"/>
    </row>
    <row r="69" spans="1:8" ht="15.75" customHeight="1">
      <c r="A69">
        <v>55</v>
      </c>
      <c r="B69" t="s">
        <v>138</v>
      </c>
      <c r="C69" t="s">
        <v>214</v>
      </c>
      <c r="D69" s="67"/>
      <c r="E69" s="48">
        <v>7.0000000000000007E-2</v>
      </c>
      <c r="F69" s="60">
        <v>25</v>
      </c>
      <c r="G69" s="28"/>
      <c r="H69" s="5"/>
    </row>
    <row r="70" spans="1:8" ht="15.75" customHeight="1">
      <c r="A70">
        <v>56</v>
      </c>
      <c r="B70" t="s">
        <v>109</v>
      </c>
      <c r="C70" t="s">
        <v>214</v>
      </c>
      <c r="D70" s="67"/>
      <c r="E70" s="48">
        <v>7.0000000000000007E-2</v>
      </c>
      <c r="F70" s="60">
        <v>10</v>
      </c>
      <c r="G70" s="28"/>
      <c r="H70" s="5"/>
    </row>
    <row r="71" spans="1:8" ht="15.75" customHeight="1">
      <c r="B71" t="s">
        <v>193</v>
      </c>
      <c r="C71" t="s">
        <v>266</v>
      </c>
      <c r="D71" s="67"/>
      <c r="E71" s="47">
        <v>7.0000000000000007E-2</v>
      </c>
      <c r="F71" s="60">
        <v>125</v>
      </c>
      <c r="G71" s="28"/>
      <c r="H71" s="5"/>
    </row>
    <row r="72" spans="1:8" ht="15.75" customHeight="1">
      <c r="A72">
        <v>57</v>
      </c>
      <c r="B72" t="s">
        <v>364</v>
      </c>
      <c r="C72" t="s">
        <v>111</v>
      </c>
      <c r="D72" s="67"/>
      <c r="E72" s="47">
        <v>0.19</v>
      </c>
      <c r="F72" s="57">
        <v>6.99</v>
      </c>
      <c r="G72" s="28"/>
      <c r="H72" s="5"/>
    </row>
    <row r="73" spans="1:8" ht="15.75" customHeight="1">
      <c r="B73" t="s">
        <v>399</v>
      </c>
      <c r="C73" t="s">
        <v>49</v>
      </c>
      <c r="D73" s="67"/>
      <c r="E73" s="47">
        <v>0.19</v>
      </c>
      <c r="F73" s="57">
        <v>16.989999999999998</v>
      </c>
      <c r="G73" s="28"/>
      <c r="H73" s="5"/>
    </row>
    <row r="74" spans="1:8" ht="15.75" customHeight="1">
      <c r="A74">
        <v>58</v>
      </c>
      <c r="B74" t="s">
        <v>108</v>
      </c>
      <c r="C74" t="s">
        <v>36</v>
      </c>
      <c r="D74" s="67">
        <v>12.79</v>
      </c>
      <c r="E74" s="62">
        <v>7.0000000000000007E-2</v>
      </c>
      <c r="F74" s="57">
        <v>16</v>
      </c>
      <c r="G74" s="28"/>
      <c r="H74" s="5"/>
    </row>
    <row r="75" spans="1:8" ht="15.75" customHeight="1">
      <c r="A75">
        <v>59</v>
      </c>
      <c r="B75" t="s">
        <v>84</v>
      </c>
      <c r="C75" t="s">
        <v>62</v>
      </c>
      <c r="D75" s="67">
        <v>21.75</v>
      </c>
      <c r="E75" s="47">
        <v>7.0000000000000007E-2</v>
      </c>
      <c r="F75" s="57">
        <v>29</v>
      </c>
      <c r="G75" s="28"/>
      <c r="H75" s="5"/>
    </row>
    <row r="76" spans="1:8" ht="15.75" customHeight="1">
      <c r="A76">
        <v>60</v>
      </c>
      <c r="B76" t="s">
        <v>5</v>
      </c>
      <c r="C76" t="s">
        <v>111</v>
      </c>
      <c r="D76" s="67"/>
      <c r="E76" s="47"/>
      <c r="F76" s="57">
        <v>-20</v>
      </c>
      <c r="G76" s="28"/>
      <c r="H76" s="5"/>
    </row>
    <row r="77" spans="1:8" ht="15.75" customHeight="1">
      <c r="A77">
        <v>61</v>
      </c>
      <c r="B77" t="s">
        <v>153</v>
      </c>
      <c r="C77" t="s">
        <v>36</v>
      </c>
      <c r="D77" s="67">
        <v>20</v>
      </c>
      <c r="E77" s="47">
        <v>7.0000000000000007E-2</v>
      </c>
      <c r="F77" s="57">
        <v>25</v>
      </c>
      <c r="G77" s="28"/>
      <c r="H77" s="5"/>
    </row>
    <row r="78" spans="1:8" ht="15.75" customHeight="1">
      <c r="B78" t="s">
        <v>365</v>
      </c>
      <c r="C78" t="s">
        <v>62</v>
      </c>
      <c r="D78" s="67">
        <v>13.6</v>
      </c>
      <c r="E78" s="47">
        <v>7.0000000000000007E-2</v>
      </c>
      <c r="F78" s="57">
        <v>19</v>
      </c>
      <c r="G78" s="28"/>
      <c r="H78" s="5"/>
    </row>
    <row r="79" spans="1:8" ht="15.75" customHeight="1">
      <c r="A79">
        <v>62</v>
      </c>
      <c r="B79" t="s">
        <v>107</v>
      </c>
      <c r="C79" t="s">
        <v>68</v>
      </c>
      <c r="D79" s="67">
        <v>12.6</v>
      </c>
      <c r="E79" s="62">
        <v>7.0000000000000007E-2</v>
      </c>
      <c r="F79" s="57">
        <v>17</v>
      </c>
      <c r="G79" s="28"/>
      <c r="H79" s="5"/>
    </row>
    <row r="80" spans="1:8" ht="15.75" customHeight="1">
      <c r="A80">
        <v>63</v>
      </c>
      <c r="B80" t="s">
        <v>131</v>
      </c>
      <c r="C80" t="s">
        <v>134</v>
      </c>
      <c r="D80" s="67">
        <v>12.67</v>
      </c>
      <c r="E80" s="47">
        <v>0.19</v>
      </c>
      <c r="F80" s="57">
        <v>13</v>
      </c>
      <c r="G80" s="28"/>
      <c r="H80" s="5"/>
    </row>
    <row r="81" spans="1:8" ht="15.75" customHeight="1">
      <c r="A81">
        <v>64</v>
      </c>
      <c r="B81" t="s">
        <v>143</v>
      </c>
      <c r="C81" t="s">
        <v>280</v>
      </c>
      <c r="D81" s="67"/>
      <c r="E81" s="47">
        <v>0.19</v>
      </c>
      <c r="F81" s="57">
        <v>8</v>
      </c>
      <c r="G81" s="28"/>
      <c r="H81" s="5"/>
    </row>
    <row r="82" spans="1:8" ht="15.75" customHeight="1">
      <c r="A82">
        <v>65</v>
      </c>
      <c r="B82" t="s">
        <v>137</v>
      </c>
      <c r="C82" t="s">
        <v>279</v>
      </c>
      <c r="D82" s="67"/>
      <c r="E82" s="47">
        <v>0.19</v>
      </c>
      <c r="F82" s="57">
        <v>5</v>
      </c>
      <c r="G82" s="28"/>
      <c r="H82" s="5"/>
    </row>
    <row r="83" spans="1:8" ht="15.75" customHeight="1">
      <c r="A83">
        <v>66</v>
      </c>
      <c r="B83" t="s">
        <v>358</v>
      </c>
      <c r="C83" t="s">
        <v>64</v>
      </c>
      <c r="D83" s="67">
        <v>19</v>
      </c>
      <c r="E83" s="47">
        <v>7.0000000000000007E-2</v>
      </c>
      <c r="F83" s="57">
        <v>26</v>
      </c>
      <c r="G83" s="28"/>
      <c r="H83" s="5"/>
    </row>
    <row r="84" spans="1:8" ht="15.75" customHeight="1">
      <c r="A84">
        <v>67</v>
      </c>
      <c r="B84" t="s">
        <v>210</v>
      </c>
      <c r="C84" t="s">
        <v>73</v>
      </c>
      <c r="D84" s="67">
        <v>11.65</v>
      </c>
      <c r="E84" s="47">
        <v>0.19</v>
      </c>
      <c r="F84" s="57">
        <v>16</v>
      </c>
      <c r="G84" s="28"/>
      <c r="H84" s="5"/>
    </row>
    <row r="85" spans="1:8" ht="15.75" customHeight="1">
      <c r="A85">
        <v>68</v>
      </c>
      <c r="B85" t="s">
        <v>248</v>
      </c>
      <c r="C85" t="s">
        <v>99</v>
      </c>
      <c r="D85" s="67">
        <v>16</v>
      </c>
      <c r="E85" s="47">
        <v>7.0000000000000007E-2</v>
      </c>
      <c r="F85" s="57">
        <v>21</v>
      </c>
      <c r="G85" s="28"/>
      <c r="H85" s="5"/>
    </row>
    <row r="86" spans="1:8" ht="15.75" customHeight="1">
      <c r="A86">
        <v>69</v>
      </c>
      <c r="B86" t="s">
        <v>81</v>
      </c>
      <c r="C86" t="s">
        <v>59</v>
      </c>
      <c r="D86" s="67">
        <v>16</v>
      </c>
      <c r="E86" s="47">
        <v>7.0000000000000007E-2</v>
      </c>
      <c r="F86" s="57">
        <v>20</v>
      </c>
      <c r="G86" s="28"/>
      <c r="H86" s="5"/>
    </row>
    <row r="87" spans="1:8" ht="15.75" hidden="1" customHeight="1">
      <c r="A87">
        <v>70</v>
      </c>
      <c r="B87" s="106" t="s">
        <v>61</v>
      </c>
      <c r="C87" s="107" t="s">
        <v>62</v>
      </c>
      <c r="D87" s="67">
        <v>14.25</v>
      </c>
      <c r="E87" s="47">
        <v>7.0000000000000007E-2</v>
      </c>
      <c r="F87" s="57">
        <v>19</v>
      </c>
      <c r="G87" s="28"/>
      <c r="H87" s="5"/>
    </row>
    <row r="88" spans="1:8" ht="15.75" customHeight="1">
      <c r="A88">
        <v>71</v>
      </c>
      <c r="B88" t="s">
        <v>55</v>
      </c>
      <c r="C88" t="s">
        <v>43</v>
      </c>
      <c r="D88" s="67">
        <v>11</v>
      </c>
      <c r="E88" s="47">
        <v>7.0000000000000007E-2</v>
      </c>
      <c r="F88" s="57">
        <v>16</v>
      </c>
      <c r="G88" s="28"/>
      <c r="H88" s="5"/>
    </row>
    <row r="89" spans="1:8" ht="15.75" customHeight="1">
      <c r="D89" s="67"/>
      <c r="E89" s="47">
        <v>7.0000000000000007E-2</v>
      </c>
      <c r="F89" s="57"/>
      <c r="G89" s="28"/>
      <c r="H89" s="5"/>
    </row>
    <row r="90" spans="1:8" ht="15.75" customHeight="1">
      <c r="A90">
        <v>72</v>
      </c>
      <c r="B90" t="s">
        <v>46</v>
      </c>
      <c r="C90" t="s">
        <v>47</v>
      </c>
      <c r="D90" s="67">
        <v>17.760000000000002</v>
      </c>
      <c r="E90" s="47">
        <v>7.0000000000000007E-2</v>
      </c>
      <c r="F90" s="57">
        <v>24</v>
      </c>
      <c r="G90" s="28"/>
      <c r="H90" s="5"/>
    </row>
    <row r="91" spans="1:8" ht="15.75" customHeight="1">
      <c r="A91">
        <v>73</v>
      </c>
      <c r="B91" t="s">
        <v>100</v>
      </c>
      <c r="C91" t="s">
        <v>60</v>
      </c>
      <c r="D91" s="67">
        <v>14</v>
      </c>
      <c r="E91" s="47">
        <v>7.0000000000000007E-2</v>
      </c>
      <c r="F91" s="57">
        <v>18</v>
      </c>
      <c r="G91" s="28"/>
      <c r="H91" s="5"/>
    </row>
    <row r="92" spans="1:8" ht="15.75" customHeight="1">
      <c r="A92">
        <v>74</v>
      </c>
      <c r="B92" t="s">
        <v>91</v>
      </c>
      <c r="C92" t="s">
        <v>68</v>
      </c>
      <c r="D92" s="67">
        <v>15</v>
      </c>
      <c r="E92" s="47">
        <v>7.0000000000000007E-2</v>
      </c>
      <c r="F92" s="57">
        <v>20</v>
      </c>
      <c r="G92" s="28"/>
      <c r="H92" s="5"/>
    </row>
    <row r="93" spans="1:8" ht="15.75" customHeight="1">
      <c r="A93">
        <v>75</v>
      </c>
      <c r="B93" t="s">
        <v>27</v>
      </c>
      <c r="C93" t="s">
        <v>42</v>
      </c>
      <c r="D93" s="67">
        <v>14.75</v>
      </c>
      <c r="E93" s="47">
        <v>7.0000000000000007E-2</v>
      </c>
      <c r="F93" s="57">
        <v>19</v>
      </c>
      <c r="G93" s="28"/>
      <c r="H93" s="5"/>
    </row>
    <row r="94" spans="1:8" ht="15.75" customHeight="1">
      <c r="A94">
        <v>76</v>
      </c>
      <c r="B94" t="s">
        <v>120</v>
      </c>
      <c r="C94" t="s">
        <v>59</v>
      </c>
      <c r="D94" s="67">
        <v>18</v>
      </c>
      <c r="E94" s="47">
        <v>7.0000000000000007E-2</v>
      </c>
      <c r="F94" s="57">
        <v>25</v>
      </c>
      <c r="G94" s="28"/>
      <c r="H94" s="5"/>
    </row>
    <row r="95" spans="1:8" ht="15.75" customHeight="1">
      <c r="A95">
        <v>77</v>
      </c>
      <c r="B95" t="s">
        <v>28</v>
      </c>
      <c r="C95" t="s">
        <v>41</v>
      </c>
      <c r="D95" s="67">
        <v>22.68</v>
      </c>
      <c r="E95" s="47">
        <v>7.0000000000000007E-2</v>
      </c>
      <c r="F95" s="57">
        <v>28</v>
      </c>
      <c r="G95" s="28"/>
      <c r="H95" s="5"/>
    </row>
    <row r="96" spans="1:8" ht="15.75" customHeight="1">
      <c r="A96">
        <v>78</v>
      </c>
      <c r="B96" t="s">
        <v>154</v>
      </c>
      <c r="C96" t="s">
        <v>36</v>
      </c>
      <c r="D96" s="67">
        <v>17.82</v>
      </c>
      <c r="E96" s="47">
        <v>7.0000000000000007E-2</v>
      </c>
      <c r="F96" s="57">
        <v>21</v>
      </c>
      <c r="G96" s="28"/>
      <c r="H96" s="5"/>
    </row>
    <row r="97" spans="1:9" ht="15.75" customHeight="1">
      <c r="A97">
        <v>79</v>
      </c>
      <c r="B97" t="s">
        <v>219</v>
      </c>
      <c r="C97" t="s">
        <v>79</v>
      </c>
      <c r="D97" s="67"/>
      <c r="E97" s="47">
        <v>0.19</v>
      </c>
      <c r="F97" s="57">
        <v>13</v>
      </c>
      <c r="G97" s="28"/>
      <c r="H97" s="5"/>
    </row>
    <row r="98" spans="1:9" ht="15.75" customHeight="1">
      <c r="A98">
        <v>80</v>
      </c>
      <c r="B98" t="s">
        <v>110</v>
      </c>
      <c r="C98" t="s">
        <v>68</v>
      </c>
      <c r="D98" s="67">
        <v>10.93</v>
      </c>
      <c r="E98" s="62">
        <v>0.19</v>
      </c>
      <c r="F98" s="57">
        <v>16</v>
      </c>
      <c r="G98" s="28"/>
      <c r="H98" s="64" t="s">
        <v>218</v>
      </c>
    </row>
    <row r="99" spans="1:9" ht="15.75" customHeight="1">
      <c r="A99">
        <v>81</v>
      </c>
      <c r="B99" t="s">
        <v>228</v>
      </c>
      <c r="C99" t="s">
        <v>79</v>
      </c>
      <c r="D99" s="67">
        <v>13.08</v>
      </c>
      <c r="E99" s="47">
        <v>7.0000000000000007E-2</v>
      </c>
      <c r="F99" s="57">
        <v>19</v>
      </c>
      <c r="G99" s="28"/>
      <c r="H99" s="5"/>
    </row>
    <row r="100" spans="1:9" ht="15.75" customHeight="1">
      <c r="A100" s="99"/>
      <c r="B100" s="99"/>
      <c r="C100" s="99"/>
      <c r="D100" s="100"/>
      <c r="E100" s="101"/>
      <c r="F100" s="102"/>
      <c r="G100" s="103"/>
      <c r="H100" s="104"/>
      <c r="I100" s="99"/>
    </row>
    <row r="101" spans="1:9" ht="15.75" customHeight="1">
      <c r="D101" s="67"/>
      <c r="E101" s="47"/>
      <c r="F101" s="57"/>
      <c r="G101" s="28"/>
      <c r="H101" s="5"/>
    </row>
    <row r="102" spans="1:9" ht="15.75" customHeight="1">
      <c r="A102" t="s">
        <v>277</v>
      </c>
      <c r="B102" t="s">
        <v>275</v>
      </c>
      <c r="C102" t="s">
        <v>310</v>
      </c>
      <c r="D102" s="158" t="s">
        <v>291</v>
      </c>
      <c r="E102" s="47">
        <v>7.0000000000000007E-2</v>
      </c>
      <c r="F102" s="57">
        <v>37.950000000000003</v>
      </c>
      <c r="G102" s="28"/>
      <c r="H102" s="5"/>
    </row>
    <row r="103" spans="1:9" ht="15.75" customHeight="1">
      <c r="A103" t="s">
        <v>278</v>
      </c>
      <c r="B103" t="s">
        <v>276</v>
      </c>
      <c r="C103" t="s">
        <v>303</v>
      </c>
      <c r="D103" s="159" t="s">
        <v>302</v>
      </c>
      <c r="E103" s="47">
        <v>7.0000000000000007E-2</v>
      </c>
      <c r="F103" s="57">
        <v>44.95</v>
      </c>
      <c r="G103" s="28"/>
      <c r="H103" s="5"/>
    </row>
    <row r="104" spans="1:9" ht="15.75" customHeight="1">
      <c r="A104" t="s">
        <v>330</v>
      </c>
      <c r="B104" t="s">
        <v>286</v>
      </c>
      <c r="C104" t="s">
        <v>300</v>
      </c>
      <c r="D104" s="157" t="s">
        <v>291</v>
      </c>
      <c r="E104" s="47">
        <v>7.0000000000000007E-2</v>
      </c>
      <c r="F104" s="60">
        <v>37.950000000000003</v>
      </c>
      <c r="G104" s="28"/>
      <c r="H104" s="5"/>
    </row>
    <row r="105" spans="1:9" ht="15.75" customHeight="1">
      <c r="A105" t="s">
        <v>331</v>
      </c>
      <c r="B105" s="136" t="s">
        <v>320</v>
      </c>
      <c r="C105" s="136" t="s">
        <v>301</v>
      </c>
      <c r="D105" s="159">
        <v>24.67</v>
      </c>
      <c r="E105" s="47">
        <v>7.0000000000000007E-2</v>
      </c>
      <c r="F105">
        <v>37.950000000000003</v>
      </c>
      <c r="G105" s="28"/>
      <c r="H105" s="5"/>
    </row>
    <row r="106" spans="1:9" ht="15.75" customHeight="1">
      <c r="A106" t="s">
        <v>332</v>
      </c>
      <c r="B106" s="136" t="s">
        <v>282</v>
      </c>
      <c r="C106" s="136" t="s">
        <v>299</v>
      </c>
      <c r="D106" s="159" t="s">
        <v>297</v>
      </c>
      <c r="E106" s="47">
        <v>7.0000000000000007E-2</v>
      </c>
      <c r="F106" s="60">
        <v>19.95</v>
      </c>
      <c r="G106" s="28"/>
      <c r="H106" s="5"/>
    </row>
    <row r="107" spans="1:9" ht="15.75" customHeight="1">
      <c r="A107" t="s">
        <v>333</v>
      </c>
      <c r="B107" t="s">
        <v>283</v>
      </c>
      <c r="C107" t="s">
        <v>298</v>
      </c>
      <c r="D107" s="159" t="s">
        <v>296</v>
      </c>
      <c r="E107" s="47">
        <v>7.0000000000000007E-2</v>
      </c>
      <c r="F107" s="105">
        <v>34.950000000000003</v>
      </c>
      <c r="G107" s="28"/>
      <c r="H107" s="5"/>
    </row>
    <row r="108" spans="1:9" ht="15.75" customHeight="1">
      <c r="A108" t="s">
        <v>334</v>
      </c>
      <c r="B108" t="s">
        <v>284</v>
      </c>
      <c r="C108" t="s">
        <v>62</v>
      </c>
      <c r="D108" s="159" t="s">
        <v>296</v>
      </c>
      <c r="E108" s="47">
        <v>7.0000000000000007E-2</v>
      </c>
      <c r="F108" s="57">
        <v>34.950000000000003</v>
      </c>
      <c r="G108" s="28"/>
      <c r="H108" s="5"/>
    </row>
    <row r="109" spans="1:9" ht="15.75" customHeight="1">
      <c r="A109" t="s">
        <v>335</v>
      </c>
      <c r="B109" t="s">
        <v>289</v>
      </c>
      <c r="C109" t="s">
        <v>59</v>
      </c>
      <c r="D109" s="159" t="s">
        <v>294</v>
      </c>
      <c r="E109" s="47">
        <v>7.0000000000000007E-2</v>
      </c>
      <c r="F109" s="57">
        <v>39.950000000000003</v>
      </c>
      <c r="G109" s="28"/>
      <c r="H109" s="5"/>
    </row>
    <row r="110" spans="1:9" ht="15.75" customHeight="1">
      <c r="A110" t="s">
        <v>336</v>
      </c>
      <c r="B110" s="136" t="s">
        <v>285</v>
      </c>
      <c r="C110" s="136" t="s">
        <v>299</v>
      </c>
      <c r="D110" s="159" t="s">
        <v>295</v>
      </c>
      <c r="E110" s="47">
        <v>7.0000000000000007E-2</v>
      </c>
      <c r="F110" s="57">
        <v>29.95</v>
      </c>
      <c r="G110" s="28"/>
      <c r="H110" s="5"/>
    </row>
    <row r="111" spans="1:9" ht="15.75" customHeight="1">
      <c r="A111" t="s">
        <v>337</v>
      </c>
      <c r="B111" t="s">
        <v>290</v>
      </c>
      <c r="C111" t="s">
        <v>59</v>
      </c>
      <c r="D111" s="159" t="s">
        <v>292</v>
      </c>
      <c r="E111" s="47">
        <v>7.0000000000000007E-2</v>
      </c>
      <c r="F111">
        <v>54.95</v>
      </c>
      <c r="G111" s="28"/>
      <c r="H111" s="5"/>
    </row>
    <row r="112" spans="1:9" ht="15.75" customHeight="1">
      <c r="A112" t="s">
        <v>338</v>
      </c>
      <c r="B112" t="s">
        <v>293</v>
      </c>
      <c r="C112" t="s">
        <v>59</v>
      </c>
      <c r="D112" s="159" t="s">
        <v>294</v>
      </c>
      <c r="E112" s="47">
        <v>7.0000000000000007E-2</v>
      </c>
      <c r="F112">
        <v>39.950000000000003</v>
      </c>
      <c r="G112" s="28"/>
      <c r="H112" s="5"/>
    </row>
    <row r="113" spans="1:8" ht="15.75" customHeight="1">
      <c r="A113" t="s">
        <v>339</v>
      </c>
      <c r="B113" t="s">
        <v>304</v>
      </c>
      <c r="C113" t="s">
        <v>305</v>
      </c>
      <c r="D113" s="159" t="s">
        <v>306</v>
      </c>
      <c r="E113" s="47">
        <v>7.0000000000000007E-2</v>
      </c>
      <c r="F113" s="113">
        <v>59.95</v>
      </c>
      <c r="G113" s="28"/>
      <c r="H113" s="5"/>
    </row>
    <row r="114" spans="1:8" ht="15.75" customHeight="1">
      <c r="A114" t="s">
        <v>340</v>
      </c>
      <c r="B114" t="s">
        <v>381</v>
      </c>
      <c r="C114" t="s">
        <v>59</v>
      </c>
      <c r="D114" s="159">
        <v>22.72</v>
      </c>
      <c r="E114" s="47">
        <v>7.0000000000000007E-2</v>
      </c>
      <c r="F114" s="57">
        <v>34.950000000000003</v>
      </c>
      <c r="G114" s="28"/>
      <c r="H114" s="5"/>
    </row>
    <row r="115" spans="1:8" ht="15.75" customHeight="1">
      <c r="A115" t="s">
        <v>341</v>
      </c>
      <c r="B115" t="s">
        <v>308</v>
      </c>
      <c r="C115" t="s">
        <v>62</v>
      </c>
      <c r="D115" s="159">
        <v>22.72</v>
      </c>
      <c r="E115" s="47">
        <v>7.0000000000000007E-2</v>
      </c>
      <c r="F115">
        <v>34.950000000000003</v>
      </c>
      <c r="G115" s="28"/>
      <c r="H115" s="5"/>
    </row>
    <row r="116" spans="1:8" ht="15.75" customHeight="1">
      <c r="A116" t="s">
        <v>342</v>
      </c>
      <c r="B116" t="s">
        <v>400</v>
      </c>
      <c r="C116" t="s">
        <v>312</v>
      </c>
      <c r="D116" s="159">
        <v>23.97</v>
      </c>
      <c r="E116" s="47">
        <v>7.0000000000000007E-2</v>
      </c>
      <c r="F116" s="148">
        <v>39.950000000000003</v>
      </c>
      <c r="G116" s="28"/>
      <c r="H116" s="5"/>
    </row>
    <row r="117" spans="1:8" ht="15.75" customHeight="1">
      <c r="A117" t="s">
        <v>343</v>
      </c>
      <c r="B117" t="s">
        <v>313</v>
      </c>
      <c r="C117" t="s">
        <v>64</v>
      </c>
      <c r="D117" s="159">
        <v>22.27</v>
      </c>
      <c r="E117" s="47">
        <v>7.0000000000000007E-2</v>
      </c>
      <c r="F117" s="57">
        <v>34.950000000000003</v>
      </c>
      <c r="G117" s="28"/>
      <c r="H117" s="5"/>
    </row>
    <row r="118" spans="1:8" ht="15.75" customHeight="1">
      <c r="A118" t="s">
        <v>344</v>
      </c>
      <c r="B118" t="s">
        <v>316</v>
      </c>
      <c r="C118" t="s">
        <v>317</v>
      </c>
      <c r="D118" s="159" t="s">
        <v>318</v>
      </c>
      <c r="E118" s="47">
        <v>7.0000000000000007E-2</v>
      </c>
      <c r="F118" s="57">
        <v>42.95</v>
      </c>
      <c r="G118" s="28"/>
      <c r="H118" s="5"/>
    </row>
    <row r="119" spans="1:8" ht="15.75" customHeight="1">
      <c r="A119" t="s">
        <v>345</v>
      </c>
      <c r="B119" t="s">
        <v>346</v>
      </c>
      <c r="C119" t="s">
        <v>347</v>
      </c>
      <c r="D119" s="159">
        <v>22.72</v>
      </c>
      <c r="E119" s="47">
        <v>7.0000000000000007E-2</v>
      </c>
      <c r="F119" s="57">
        <v>34.950000000000003</v>
      </c>
      <c r="G119" s="28"/>
      <c r="H119" s="5"/>
    </row>
    <row r="120" spans="1:8" ht="15.75" customHeight="1">
      <c r="A120" t="s">
        <v>348</v>
      </c>
      <c r="B120" t="s">
        <v>349</v>
      </c>
      <c r="C120" t="s">
        <v>59</v>
      </c>
      <c r="D120" s="159">
        <v>29.22</v>
      </c>
      <c r="E120" s="47">
        <v>7.0000000000000007E-2</v>
      </c>
      <c r="F120" s="57">
        <v>44.95</v>
      </c>
      <c r="G120" s="28"/>
      <c r="H120" s="5"/>
    </row>
    <row r="121" spans="1:8" ht="15.75" customHeight="1">
      <c r="A121" t="s">
        <v>351</v>
      </c>
      <c r="B121" t="s">
        <v>352</v>
      </c>
      <c r="C121" t="s">
        <v>353</v>
      </c>
      <c r="D121" s="159">
        <v>32.47</v>
      </c>
      <c r="E121" s="47">
        <v>7.0000000000000007E-2</v>
      </c>
      <c r="F121" s="57">
        <v>49.95</v>
      </c>
      <c r="G121" s="28"/>
      <c r="H121" s="5"/>
    </row>
    <row r="122" spans="1:8" ht="15.75" customHeight="1">
      <c r="A122" t="s">
        <v>371</v>
      </c>
      <c r="B122" t="s">
        <v>357</v>
      </c>
      <c r="C122" t="s">
        <v>64</v>
      </c>
      <c r="D122" s="159">
        <v>29.22</v>
      </c>
      <c r="E122" s="47">
        <v>7.0000000000000007E-2</v>
      </c>
      <c r="F122" s="57">
        <v>44.95</v>
      </c>
      <c r="G122" s="28"/>
      <c r="H122" s="5"/>
    </row>
    <row r="123" spans="1:8" ht="15.75" customHeight="1">
      <c r="A123" t="s">
        <v>372</v>
      </c>
      <c r="B123" t="s">
        <v>356</v>
      </c>
      <c r="C123" t="s">
        <v>64</v>
      </c>
      <c r="D123" s="159">
        <v>25.97</v>
      </c>
      <c r="E123" s="47">
        <v>7.0000000000000007E-2</v>
      </c>
      <c r="F123" s="57">
        <v>39.950000000000003</v>
      </c>
      <c r="G123" s="28"/>
      <c r="H123" s="5"/>
    </row>
    <row r="124" spans="1:8" ht="15.75" customHeight="1">
      <c r="A124" t="s">
        <v>373</v>
      </c>
      <c r="B124" t="s">
        <v>359</v>
      </c>
      <c r="C124" t="s">
        <v>62</v>
      </c>
      <c r="D124" s="159">
        <v>18.170000000000002</v>
      </c>
      <c r="E124" s="47">
        <v>7.0000000000000007E-2</v>
      </c>
      <c r="F124" s="57">
        <v>27.95</v>
      </c>
      <c r="G124" s="28"/>
      <c r="H124" s="5"/>
    </row>
    <row r="125" spans="1:8" ht="15.75" customHeight="1">
      <c r="A125" t="s">
        <v>374</v>
      </c>
      <c r="B125" t="s">
        <v>368</v>
      </c>
      <c r="C125" t="s">
        <v>62</v>
      </c>
      <c r="D125" s="159">
        <v>22.77</v>
      </c>
      <c r="E125" s="47">
        <v>7.0000000000000007E-2</v>
      </c>
      <c r="F125" s="57">
        <v>37.950000000000003</v>
      </c>
      <c r="G125" s="28"/>
      <c r="H125" s="5"/>
    </row>
    <row r="126" spans="1:8" ht="15.75" customHeight="1">
      <c r="A126" t="s">
        <v>375</v>
      </c>
      <c r="B126" t="s">
        <v>369</v>
      </c>
      <c r="C126" t="s">
        <v>370</v>
      </c>
      <c r="D126" s="159">
        <v>26.97</v>
      </c>
      <c r="E126" s="47">
        <v>7.0000000000000007E-2</v>
      </c>
      <c r="F126" s="57">
        <v>44.95</v>
      </c>
      <c r="G126" s="28"/>
      <c r="H126" s="5"/>
    </row>
    <row r="127" spans="1:8" ht="15.75" customHeight="1">
      <c r="A127" t="s">
        <v>376</v>
      </c>
      <c r="B127" t="s">
        <v>380</v>
      </c>
      <c r="C127" t="s">
        <v>64</v>
      </c>
      <c r="D127" s="159">
        <v>18.170000000000002</v>
      </c>
      <c r="E127" s="47">
        <v>7.0000000000000007E-2</v>
      </c>
      <c r="F127" s="148">
        <v>27.95</v>
      </c>
      <c r="G127" s="28"/>
      <c r="H127" s="5"/>
    </row>
    <row r="128" spans="1:8" ht="15.75" customHeight="1">
      <c r="A128" t="s">
        <v>378</v>
      </c>
      <c r="B128" t="s">
        <v>379</v>
      </c>
      <c r="C128" t="s">
        <v>370</v>
      </c>
      <c r="D128" s="159">
        <v>29.22</v>
      </c>
      <c r="E128" s="47">
        <v>7.0000000000000007E-2</v>
      </c>
      <c r="F128" s="57">
        <v>44.95</v>
      </c>
      <c r="G128" s="28"/>
      <c r="H128" s="5"/>
    </row>
    <row r="129" spans="1:9" ht="15.75" customHeight="1">
      <c r="A129" t="s">
        <v>383</v>
      </c>
      <c r="B129" t="s">
        <v>387</v>
      </c>
      <c r="C129" t="s">
        <v>64</v>
      </c>
      <c r="D129" s="159"/>
      <c r="E129" s="47">
        <v>7.0000000000000007E-2</v>
      </c>
      <c r="F129" s="57">
        <v>29.95</v>
      </c>
      <c r="G129" s="28"/>
      <c r="H129" s="5"/>
    </row>
    <row r="130" spans="1:9" ht="15.75" customHeight="1">
      <c r="A130" t="s">
        <v>384</v>
      </c>
      <c r="B130" t="s">
        <v>388</v>
      </c>
      <c r="C130" t="s">
        <v>389</v>
      </c>
      <c r="D130" s="157">
        <v>33.950000000000003</v>
      </c>
      <c r="E130" s="47">
        <v>7.0000000000000007E-2</v>
      </c>
      <c r="F130" s="148">
        <v>39.950000000000003</v>
      </c>
      <c r="G130" s="28"/>
      <c r="H130" s="5"/>
    </row>
    <row r="131" spans="1:9" ht="15.75" customHeight="1">
      <c r="A131" t="s">
        <v>385</v>
      </c>
      <c r="B131" t="s">
        <v>394</v>
      </c>
      <c r="C131" t="s">
        <v>64</v>
      </c>
      <c r="D131" s="159"/>
      <c r="E131" s="47">
        <v>7.0000000000000007E-2</v>
      </c>
      <c r="F131" s="57">
        <v>29.95</v>
      </c>
      <c r="G131" s="28"/>
      <c r="H131" s="5"/>
    </row>
    <row r="132" spans="1:9" ht="15.75" customHeight="1">
      <c r="A132" t="s">
        <v>386</v>
      </c>
      <c r="B132" t="s">
        <v>391</v>
      </c>
      <c r="C132" t="s">
        <v>392</v>
      </c>
      <c r="D132" s="159"/>
      <c r="E132" s="47"/>
      <c r="F132" s="57">
        <v>8</v>
      </c>
      <c r="G132" s="28"/>
      <c r="H132" s="5"/>
    </row>
    <row r="133" spans="1:9" ht="15.75" customHeight="1">
      <c r="D133" s="159"/>
      <c r="E133" s="47"/>
      <c r="F133" s="57"/>
      <c r="G133" s="28"/>
      <c r="H133" s="5"/>
    </row>
    <row r="134" spans="1:9" ht="15.75" customHeight="1">
      <c r="B134" t="s">
        <v>395</v>
      </c>
      <c r="C134" t="s">
        <v>416</v>
      </c>
      <c r="D134" s="159">
        <v>23.95</v>
      </c>
      <c r="E134" s="47">
        <v>7.0000000000000007E-2</v>
      </c>
      <c r="F134" s="57">
        <v>25</v>
      </c>
      <c r="G134" s="28"/>
      <c r="H134" s="5"/>
    </row>
    <row r="135" spans="1:9" ht="15.75" customHeight="1">
      <c r="B135" t="s">
        <v>417</v>
      </c>
      <c r="C135" t="s">
        <v>75</v>
      </c>
      <c r="D135" s="206"/>
      <c r="E135" s="47"/>
      <c r="F135" s="57">
        <v>18</v>
      </c>
      <c r="G135" s="28"/>
      <c r="H135" s="5"/>
    </row>
    <row r="136" spans="1:9" ht="15.75" customHeight="1">
      <c r="D136" s="67"/>
      <c r="E136" s="47"/>
      <c r="F136" s="57"/>
      <c r="G136" s="28"/>
      <c r="H136" s="5"/>
    </row>
    <row r="137" spans="1:9" ht="15.75" customHeight="1"/>
    <row r="138" spans="1:9" ht="15.75" customHeight="1">
      <c r="B138" t="s">
        <v>168</v>
      </c>
      <c r="C138" t="s">
        <v>169</v>
      </c>
      <c r="F138" s="58">
        <v>27.95</v>
      </c>
      <c r="H138" t="s">
        <v>170</v>
      </c>
      <c r="I138" t="s">
        <v>171</v>
      </c>
    </row>
    <row r="140" spans="1:9" ht="30" customHeight="1">
      <c r="B140" t="s">
        <v>391</v>
      </c>
      <c r="C140" t="s">
        <v>392</v>
      </c>
      <c r="F140" s="60">
        <v>8</v>
      </c>
    </row>
    <row r="141" spans="1:9" ht="30" customHeight="1">
      <c r="G141" t="s">
        <v>53</v>
      </c>
      <c r="H141" s="207" t="s">
        <v>54</v>
      </c>
      <c r="I141" s="207"/>
    </row>
  </sheetData>
  <sheetProtection formatCells="0" formatColumns="0" formatRows="0" insertColumns="0" insertRows="0" insertHyperlinks="0" deleteColumns="0" deleteRows="0" selectLockedCells="1" sort="0" autoFilter="0" pivotTables="0"/>
  <mergeCells count="1">
    <mergeCell ref="H141:I141"/>
  </mergeCells>
  <phoneticPr fontId="41" type="noConversion"/>
  <dataValidations count="10">
    <dataValidation allowBlank="1" showInputMessage="1" showErrorMessage="1" prompt="Navigationslink zum Arbeitsblatt &quot;Handelsrechnung&quot; Diese Zelle wird nicht gedruckt." sqref="K1" xr:uid="{7C32DF9D-9B5A-4BC7-A6EB-B8525D93BCB6}"/>
    <dataValidation allowBlank="1" showInputMessage="1" showErrorMessage="1" prompt="Geben Sie in dieser Spalte unter dieser Überschrift den Ort ein." sqref="E2" xr:uid="{4FE68F4A-3F94-4D8A-B840-8619B895A226}"/>
    <dataValidation allowBlank="1" showInputMessage="1" showErrorMessage="1" prompt="Der Titel dieses Arbeitsblatts befindet sich in dieser Zelle." sqref="B1" xr:uid="{A3A7488B-5529-400D-AC4D-EB91B5FAD9C9}"/>
    <dataValidation allowBlank="1" showInputMessage="1" showErrorMessage="1" prompt="Geben Sie in dieser Arbeitsmappe Kundendetails ein. Die eingegebenen Kundeninformationen werden auf dem Arbeitsblatt &quot;Handelsrechnung&quot; verwendet. Wählen Sie Zelle M1 aus, um zum Arbeitsblatt &quot;Handelsrechnung&quot; zu navigieren." sqref="A1" xr:uid="{056193DF-6CEB-4F4D-9C84-FB36BED71716}"/>
    <dataValidation allowBlank="1" showInputMessage="1" showErrorMessage="1" prompt="Geben Sie in dieser Spalte unter dieser Überschrift die E-Mail-Adresse ein." sqref="H2:H3" xr:uid="{0BFC8F7C-87DD-46CA-9072-C03C7010C988}"/>
    <dataValidation allowBlank="1" showInputMessage="1" showErrorMessage="1" prompt="Geben Sie in dieser Spalte unter dieser Überschrift die Telefonnummer ein." sqref="G2:G3" xr:uid="{5347A7A7-C0E8-4334-B989-A9895D34D92E}"/>
    <dataValidation allowBlank="1" showInputMessage="1" showErrorMessage="1" prompt="Geben Sie in dieser Spalte unter dieser Überschrift die Postleitzahl ein." sqref="F2:F3" xr:uid="{79C7D877-6EF0-4D0B-A5C4-61FE10FA3520}"/>
    <dataValidation allowBlank="1" showInputMessage="1" showErrorMessage="1" prompt="Geben Sie in dieser Spalte unter dieser Überschrift die Adresse ein." sqref="D2:D3" xr:uid="{C5AC0189-12E1-482A-A2B8-2B079E780133}"/>
    <dataValidation allowBlank="1" showInputMessage="1" showErrorMessage="1" prompt="Geben Sie in dieser Spalte unter dieser Überschrift den Namen des Kontakts ein." sqref="C2:C3" xr:uid="{70DAB4C6-CF1E-4E08-8804-BDE78EE3A056}"/>
    <dataValidation allowBlank="1" showInputMessage="1" showErrorMessage="1" prompt="Geben Sie in dieser Spalte unter dieser Überschrift den Firmennamen ein. Verwenden Sie Überschriftsfilter, um bestimmte Einträge zu finden." sqref="B2:B3" xr:uid="{F639CBB6-06D5-453F-A13B-7FF9B9EE8024}"/>
  </dataValidations>
  <hyperlinks>
    <hyperlink ref="K1" location="Handelsrechnung!A1" tooltip="Auswählen, um zum Arbeitsblatt &quot;Handelsrechnung&quot; zu navigieren" display="Handelsrechnung" xr:uid="{52A43701-82F7-487E-BC33-EA59831B93F8}"/>
    <hyperlink ref="B45" r:id="rId1" display="https://shop.afterbuy.de/Nahrungsergaenzungsmittel-L-Carnosin-Kapseln----120-Kapseln/a123410574_u11624_zeb61ef87-41fb-45a7-9e97-669a849b9bd7/" xr:uid="{B80183C8-44C1-40B7-B11E-B5A3B53CFB4E}"/>
  </hyperlinks>
  <printOptions horizontalCentered="1"/>
  <pageMargins left="0.23622047244094491" right="0.23622047244094491" top="0.19685039370078741" bottom="0.15748031496062992" header="0.31496062992125984" footer="0.31496062992125984"/>
  <pageSetup paperSize="9" scale="69" fitToHeight="0" orientation="portrait" r:id="rId2"/>
  <headerFooter differentFirst="1">
    <oddFooter>Page &amp;P of &amp;N</oddFooter>
  </headerFooter>
  <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theme="4"/>
    <pageSetUpPr autoPageBreaks="0" fitToPage="1"/>
  </sheetPr>
  <dimension ref="B1:I220"/>
  <sheetViews>
    <sheetView showGridLines="0" tabSelected="1" zoomScaleNormal="100" workbookViewId="0">
      <pane xSplit="2" ySplit="3" topLeftCell="C4" activePane="bottomRight" state="frozen"/>
      <selection pane="topRight" activeCell="C1" sqref="C1"/>
      <selection pane="bottomLeft" activeCell="A4" sqref="A4"/>
      <selection pane="bottomRight" activeCell="C11" sqref="C11"/>
    </sheetView>
  </sheetViews>
  <sheetFormatPr baseColWidth="10" defaultColWidth="9.28515625" defaultRowHeight="30" customHeight="1"/>
  <cols>
    <col min="1" max="1" width="2.7109375" customWidth="1"/>
    <col min="2" max="2" width="29.5703125" customWidth="1"/>
    <col min="3" max="3" width="21.7109375" customWidth="1"/>
    <col min="4" max="5" width="25.7109375" customWidth="1"/>
    <col min="6" max="6" width="17.7109375" customWidth="1"/>
    <col min="7" max="7" width="33.7109375" customWidth="1"/>
    <col min="8" max="8" width="2.7109375" customWidth="1"/>
    <col min="9" max="9" width="22.7109375" customWidth="1"/>
  </cols>
  <sheetData>
    <row r="1" spans="2:9" ht="42" customHeight="1">
      <c r="B1" s="3" t="s">
        <v>9</v>
      </c>
      <c r="I1" s="7" t="s">
        <v>13</v>
      </c>
    </row>
    <row r="2" spans="2:9" ht="20.25" customHeight="1">
      <c r="B2" t="s">
        <v>14</v>
      </c>
      <c r="C2" t="s">
        <v>16</v>
      </c>
      <c r="D2" t="s">
        <v>10</v>
      </c>
      <c r="E2" t="s">
        <v>21</v>
      </c>
      <c r="F2" t="s">
        <v>11</v>
      </c>
      <c r="G2" t="s">
        <v>12</v>
      </c>
    </row>
    <row r="3" spans="2:9" ht="30" hidden="1" customHeight="1">
      <c r="B3" t="s">
        <v>158</v>
      </c>
      <c r="F3" s="4"/>
      <c r="G3" s="5"/>
    </row>
    <row r="4" spans="2:9" ht="21" customHeight="1">
      <c r="F4" s="4"/>
      <c r="G4" s="5"/>
    </row>
    <row r="5" spans="2:9" ht="21" customHeight="1">
      <c r="B5" t="s">
        <v>421</v>
      </c>
      <c r="C5" t="s">
        <v>426</v>
      </c>
      <c r="D5" t="s">
        <v>422</v>
      </c>
      <c r="E5" t="s">
        <v>423</v>
      </c>
      <c r="F5" s="4" t="s">
        <v>424</v>
      </c>
      <c r="G5" s="5" t="s">
        <v>425</v>
      </c>
    </row>
    <row r="6" spans="2:9" ht="21" customHeight="1">
      <c r="F6" s="4"/>
      <c r="G6" s="5"/>
    </row>
    <row r="7" spans="2:9" ht="21" customHeight="1">
      <c r="F7" s="4"/>
      <c r="G7" s="5"/>
    </row>
    <row r="8" spans="2:9" ht="21" customHeight="1">
      <c r="F8" s="4"/>
      <c r="G8" s="5"/>
    </row>
    <row r="9" spans="2:9" ht="21" customHeight="1">
      <c r="F9" s="4"/>
      <c r="G9" s="5"/>
    </row>
    <row r="10" spans="2:9" ht="21" customHeight="1">
      <c r="F10" s="4"/>
      <c r="G10" s="5"/>
    </row>
    <row r="11" spans="2:9" ht="21" customHeight="1">
      <c r="F11" s="4"/>
      <c r="G11" s="5"/>
    </row>
    <row r="12" spans="2:9" ht="21" customHeight="1">
      <c r="F12" s="4"/>
      <c r="G12" s="5"/>
    </row>
    <row r="13" spans="2:9" ht="21" customHeight="1">
      <c r="F13" s="4"/>
      <c r="G13" s="5"/>
    </row>
    <row r="14" spans="2:9" ht="21" customHeight="1">
      <c r="F14" s="4"/>
      <c r="G14" s="5"/>
    </row>
    <row r="15" spans="2:9" ht="21" customHeight="1">
      <c r="F15" s="4"/>
      <c r="G15" s="5"/>
    </row>
    <row r="16" spans="2:9" ht="21" customHeight="1">
      <c r="F16" s="4"/>
      <c r="G16" s="5"/>
    </row>
    <row r="17" spans="6:7" ht="21" customHeight="1">
      <c r="F17" s="4"/>
      <c r="G17" s="5"/>
    </row>
    <row r="18" spans="6:7" ht="21" customHeight="1">
      <c r="F18" s="4"/>
      <c r="G18" s="5"/>
    </row>
    <row r="19" spans="6:7" ht="21" customHeight="1">
      <c r="F19" s="4"/>
      <c r="G19" s="5"/>
    </row>
    <row r="20" spans="6:7" ht="21" customHeight="1">
      <c r="F20" s="4"/>
      <c r="G20" s="5"/>
    </row>
    <row r="21" spans="6:7" ht="21" customHeight="1">
      <c r="F21" s="4"/>
      <c r="G21" s="5"/>
    </row>
    <row r="22" spans="6:7" ht="21" customHeight="1">
      <c r="F22" s="4"/>
      <c r="G22" s="5"/>
    </row>
    <row r="23" spans="6:7" ht="21" customHeight="1">
      <c r="F23" s="4"/>
      <c r="G23" s="5"/>
    </row>
    <row r="24" spans="6:7" ht="21" customHeight="1">
      <c r="F24" s="4"/>
      <c r="G24" s="5"/>
    </row>
    <row r="25" spans="6:7" ht="21" customHeight="1">
      <c r="F25" s="4"/>
      <c r="G25" s="5"/>
    </row>
    <row r="26" spans="6:7" ht="21" customHeight="1">
      <c r="F26" s="4"/>
      <c r="G26" s="5"/>
    </row>
    <row r="27" spans="6:7" ht="21" customHeight="1">
      <c r="F27" s="4"/>
      <c r="G27" s="5"/>
    </row>
    <row r="28" spans="6:7" ht="21" customHeight="1">
      <c r="F28" s="4"/>
      <c r="G28" s="5"/>
    </row>
    <row r="29" spans="6:7" ht="21" customHeight="1">
      <c r="F29" s="4"/>
      <c r="G29" s="5"/>
    </row>
    <row r="30" spans="6:7" ht="21" customHeight="1">
      <c r="F30" s="4"/>
      <c r="G30" s="5"/>
    </row>
    <row r="31" spans="6:7" ht="21" customHeight="1">
      <c r="F31" s="4"/>
      <c r="G31" s="5"/>
    </row>
    <row r="32" spans="6:7" ht="21" customHeight="1">
      <c r="F32" s="4"/>
      <c r="G32" s="5"/>
    </row>
    <row r="33" spans="6:7" ht="21" customHeight="1">
      <c r="F33" s="4"/>
      <c r="G33" s="50"/>
    </row>
    <row r="34" spans="6:7" ht="21" customHeight="1">
      <c r="F34" s="4"/>
      <c r="G34" s="5"/>
    </row>
    <row r="35" spans="6:7" ht="21" customHeight="1">
      <c r="F35" s="4"/>
      <c r="G35" s="5"/>
    </row>
    <row r="36" spans="6:7" ht="21" customHeight="1">
      <c r="F36" s="4"/>
      <c r="G36" s="5"/>
    </row>
    <row r="37" spans="6:7" ht="21" customHeight="1">
      <c r="F37" s="4"/>
      <c r="G37" s="5"/>
    </row>
    <row r="38" spans="6:7" ht="21" customHeight="1">
      <c r="F38" s="4"/>
      <c r="G38" s="5"/>
    </row>
    <row r="39" spans="6:7" ht="21" customHeight="1">
      <c r="F39" s="4"/>
      <c r="G39" s="5"/>
    </row>
    <row r="40" spans="6:7" ht="21" customHeight="1">
      <c r="F40" s="4"/>
      <c r="G40" s="5"/>
    </row>
    <row r="41" spans="6:7" ht="21" customHeight="1">
      <c r="F41" s="4"/>
      <c r="G41" s="5"/>
    </row>
    <row r="42" spans="6:7" ht="21" customHeight="1">
      <c r="F42" s="4"/>
      <c r="G42" s="5"/>
    </row>
    <row r="43" spans="6:7" ht="21" customHeight="1">
      <c r="F43" s="4"/>
      <c r="G43" s="5"/>
    </row>
    <row r="44" spans="6:7" ht="21" customHeight="1">
      <c r="F44" s="4"/>
      <c r="G44" s="5"/>
    </row>
    <row r="45" spans="6:7" ht="21" customHeight="1">
      <c r="F45" s="4"/>
      <c r="G45" s="5"/>
    </row>
    <row r="46" spans="6:7" ht="21" customHeight="1">
      <c r="F46" s="4"/>
      <c r="G46" s="5"/>
    </row>
    <row r="47" spans="6:7" ht="21" customHeight="1">
      <c r="F47" s="4"/>
      <c r="G47" s="5"/>
    </row>
    <row r="48" spans="6:7" ht="21" customHeight="1">
      <c r="F48" s="4"/>
      <c r="G48" s="5"/>
    </row>
    <row r="49" spans="3:7" ht="21" customHeight="1">
      <c r="F49" s="4"/>
      <c r="G49" s="5"/>
    </row>
    <row r="50" spans="3:7" ht="21" customHeight="1">
      <c r="F50" s="4"/>
      <c r="G50" s="5"/>
    </row>
    <row r="51" spans="3:7" ht="21" customHeight="1">
      <c r="F51" s="4"/>
      <c r="G51" s="5"/>
    </row>
    <row r="52" spans="3:7" ht="21" customHeight="1">
      <c r="F52" s="4"/>
      <c r="G52" s="5"/>
    </row>
    <row r="53" spans="3:7" ht="21" customHeight="1">
      <c r="F53" s="4"/>
      <c r="G53" s="5"/>
    </row>
    <row r="54" spans="3:7" ht="21" customHeight="1">
      <c r="F54" s="4"/>
      <c r="G54" s="5"/>
    </row>
    <row r="55" spans="3:7" ht="21" customHeight="1">
      <c r="F55" s="4"/>
      <c r="G55" s="5"/>
    </row>
    <row r="56" spans="3:7" ht="21" customHeight="1">
      <c r="C56" t="s">
        <v>420</v>
      </c>
      <c r="F56" s="4"/>
      <c r="G56" s="50"/>
    </row>
    <row r="57" spans="3:7" ht="21" customHeight="1">
      <c r="F57" s="4"/>
      <c r="G57" s="5"/>
    </row>
    <row r="58" spans="3:7" ht="21" customHeight="1">
      <c r="F58" s="4"/>
      <c r="G58" s="5"/>
    </row>
    <row r="59" spans="3:7" ht="21" customHeight="1">
      <c r="F59" s="4"/>
      <c r="G59" s="5"/>
    </row>
    <row r="60" spans="3:7" ht="21" customHeight="1">
      <c r="F60" s="4"/>
      <c r="G60" s="5"/>
    </row>
    <row r="61" spans="3:7" ht="21" customHeight="1">
      <c r="F61" s="4"/>
      <c r="G61" s="5"/>
    </row>
    <row r="62" spans="3:7" ht="21" customHeight="1">
      <c r="F62" s="4"/>
      <c r="G62" s="5"/>
    </row>
    <row r="63" spans="3:7" ht="21" customHeight="1">
      <c r="F63" s="4"/>
      <c r="G63" s="5"/>
    </row>
    <row r="64" spans="3:7" ht="21" customHeight="1">
      <c r="F64" s="4"/>
      <c r="G64" s="5"/>
    </row>
    <row r="65" spans="6:7" ht="21" customHeight="1">
      <c r="F65" s="4"/>
      <c r="G65" s="5"/>
    </row>
    <row r="66" spans="6:7" ht="21" customHeight="1">
      <c r="F66" s="4"/>
      <c r="G66" s="5"/>
    </row>
    <row r="67" spans="6:7" ht="21" customHeight="1">
      <c r="F67" s="4"/>
      <c r="G67" s="5"/>
    </row>
    <row r="68" spans="6:7" ht="21" customHeight="1">
      <c r="F68" s="4"/>
      <c r="G68" s="5"/>
    </row>
    <row r="69" spans="6:7" ht="21" customHeight="1">
      <c r="F69" s="4"/>
      <c r="G69" s="5"/>
    </row>
    <row r="70" spans="6:7" ht="21" customHeight="1">
      <c r="F70" s="4"/>
      <c r="G70" s="5"/>
    </row>
    <row r="71" spans="6:7" ht="21" customHeight="1">
      <c r="F71" s="4"/>
      <c r="G71" s="5"/>
    </row>
    <row r="72" spans="6:7" ht="21" customHeight="1">
      <c r="F72" s="4"/>
      <c r="G72" s="5"/>
    </row>
    <row r="73" spans="6:7" ht="21" customHeight="1">
      <c r="F73" s="4"/>
      <c r="G73" s="5"/>
    </row>
    <row r="74" spans="6:7" ht="21" customHeight="1">
      <c r="F74" s="4"/>
      <c r="G74" s="5"/>
    </row>
    <row r="75" spans="6:7" ht="21" customHeight="1">
      <c r="F75" s="4"/>
      <c r="G75" s="5"/>
    </row>
    <row r="76" spans="6:7" ht="21" customHeight="1">
      <c r="F76" s="4"/>
      <c r="G76" s="5"/>
    </row>
    <row r="77" spans="6:7" ht="21" customHeight="1">
      <c r="F77" s="4"/>
      <c r="G77" s="5"/>
    </row>
    <row r="78" spans="6:7" ht="21" customHeight="1">
      <c r="F78" s="4"/>
      <c r="G78" s="5"/>
    </row>
    <row r="79" spans="6:7" ht="21" customHeight="1">
      <c r="F79" s="4"/>
      <c r="G79" s="5"/>
    </row>
    <row r="80" spans="6:7" ht="21" customHeight="1">
      <c r="F80" s="4"/>
      <c r="G80" s="5"/>
    </row>
    <row r="81" spans="6:7" ht="21" customHeight="1">
      <c r="F81" s="4"/>
      <c r="G81" s="5"/>
    </row>
    <row r="82" spans="6:7" ht="21" customHeight="1">
      <c r="F82" s="4"/>
      <c r="G82" s="5"/>
    </row>
    <row r="83" spans="6:7" ht="21" customHeight="1">
      <c r="F83" s="4"/>
      <c r="G83" s="5"/>
    </row>
    <row r="84" spans="6:7" ht="21" customHeight="1">
      <c r="F84" s="4"/>
      <c r="G84" s="5"/>
    </row>
    <row r="85" spans="6:7" ht="21" customHeight="1">
      <c r="F85" s="4"/>
      <c r="G85" s="5"/>
    </row>
    <row r="86" spans="6:7" ht="21" customHeight="1">
      <c r="F86" s="4"/>
      <c r="G86" s="5"/>
    </row>
    <row r="87" spans="6:7" ht="21" customHeight="1">
      <c r="F87" s="4"/>
      <c r="G87" s="5"/>
    </row>
    <row r="88" spans="6:7" ht="21" customHeight="1">
      <c r="F88" s="4"/>
      <c r="G88" s="5"/>
    </row>
    <row r="89" spans="6:7" ht="21" customHeight="1">
      <c r="F89" s="4"/>
      <c r="G89" s="5"/>
    </row>
    <row r="90" spans="6:7" ht="21" customHeight="1">
      <c r="F90" s="4"/>
      <c r="G90" s="5"/>
    </row>
    <row r="91" spans="6:7" ht="21" customHeight="1">
      <c r="F91" s="4"/>
      <c r="G91" s="5"/>
    </row>
    <row r="92" spans="6:7" ht="21" customHeight="1">
      <c r="F92" s="4"/>
      <c r="G92" s="5"/>
    </row>
    <row r="93" spans="6:7" ht="21" customHeight="1">
      <c r="F93" s="4"/>
      <c r="G93" s="5"/>
    </row>
    <row r="94" spans="6:7" ht="21" customHeight="1">
      <c r="F94" s="4"/>
      <c r="G94" s="5"/>
    </row>
    <row r="95" spans="6:7" ht="21" customHeight="1">
      <c r="F95" s="4"/>
      <c r="G95" s="5"/>
    </row>
    <row r="96" spans="6:7" ht="21" customHeight="1">
      <c r="F96" s="4"/>
      <c r="G96" s="5"/>
    </row>
    <row r="97" spans="6:7" ht="21" customHeight="1">
      <c r="F97" s="4"/>
      <c r="G97" s="5"/>
    </row>
    <row r="98" spans="6:7" ht="21" customHeight="1">
      <c r="F98" s="4"/>
      <c r="G98" s="5"/>
    </row>
    <row r="99" spans="6:7" ht="21" customHeight="1">
      <c r="F99" s="4"/>
      <c r="G99" s="5"/>
    </row>
    <row r="100" spans="6:7" ht="21" customHeight="1">
      <c r="F100" s="4"/>
      <c r="G100" s="5"/>
    </row>
    <row r="101" spans="6:7" ht="21" customHeight="1">
      <c r="F101" s="4"/>
      <c r="G101" s="5"/>
    </row>
    <row r="102" spans="6:7" ht="21" customHeight="1">
      <c r="F102" s="4"/>
      <c r="G102" s="5"/>
    </row>
    <row r="103" spans="6:7" ht="21" customHeight="1">
      <c r="F103" s="4"/>
      <c r="G103" s="5"/>
    </row>
    <row r="104" spans="6:7" ht="21" customHeight="1">
      <c r="F104" s="4"/>
      <c r="G104" s="5"/>
    </row>
    <row r="105" spans="6:7" ht="21" customHeight="1">
      <c r="F105" s="4"/>
      <c r="G105" s="5"/>
    </row>
    <row r="106" spans="6:7" ht="21" customHeight="1">
      <c r="F106" s="4"/>
      <c r="G106" s="5"/>
    </row>
    <row r="107" spans="6:7" ht="21" customHeight="1">
      <c r="F107" s="4"/>
      <c r="G107" s="5"/>
    </row>
    <row r="108" spans="6:7" ht="21" customHeight="1">
      <c r="F108" s="4"/>
      <c r="G108" s="5"/>
    </row>
    <row r="109" spans="6:7" ht="21" customHeight="1">
      <c r="F109" s="4"/>
      <c r="G109" s="5"/>
    </row>
    <row r="110" spans="6:7" ht="21" customHeight="1">
      <c r="F110" s="4"/>
      <c r="G110" s="5"/>
    </row>
    <row r="111" spans="6:7" ht="21" customHeight="1">
      <c r="F111" s="4"/>
      <c r="G111" s="5"/>
    </row>
    <row r="112" spans="6:7" ht="21" customHeight="1">
      <c r="F112" s="4"/>
      <c r="G112" s="5"/>
    </row>
    <row r="113" spans="6:7" ht="21" customHeight="1">
      <c r="F113" s="4"/>
      <c r="G113" s="5"/>
    </row>
    <row r="114" spans="6:7" ht="21" customHeight="1">
      <c r="F114" s="4"/>
      <c r="G114" s="5"/>
    </row>
    <row r="115" spans="6:7" ht="21" customHeight="1">
      <c r="F115" s="4"/>
      <c r="G115" s="5"/>
    </row>
    <row r="116" spans="6:7" ht="21" customHeight="1">
      <c r="F116" s="4"/>
      <c r="G116" s="5"/>
    </row>
    <row r="117" spans="6:7" ht="21" customHeight="1">
      <c r="F117" s="4"/>
      <c r="G117" s="5"/>
    </row>
    <row r="118" spans="6:7" ht="21" customHeight="1">
      <c r="F118" s="4"/>
      <c r="G118" s="5"/>
    </row>
    <row r="119" spans="6:7" ht="21" customHeight="1">
      <c r="F119" s="4"/>
      <c r="G119" s="5"/>
    </row>
    <row r="120" spans="6:7" ht="21" customHeight="1">
      <c r="F120" s="4"/>
      <c r="G120" s="5"/>
    </row>
    <row r="121" spans="6:7" ht="21" customHeight="1">
      <c r="F121" s="4"/>
      <c r="G121" s="5"/>
    </row>
    <row r="122" spans="6:7" ht="21" customHeight="1">
      <c r="F122" s="4"/>
      <c r="G122" s="5"/>
    </row>
    <row r="123" spans="6:7" ht="21" customHeight="1">
      <c r="F123" s="4"/>
      <c r="G123" s="5"/>
    </row>
    <row r="124" spans="6:7" ht="21" customHeight="1">
      <c r="F124" s="4"/>
      <c r="G124" s="5"/>
    </row>
    <row r="125" spans="6:7" ht="21" customHeight="1">
      <c r="F125" s="4"/>
      <c r="G125" s="5"/>
    </row>
    <row r="126" spans="6:7" ht="21" customHeight="1">
      <c r="F126" s="4"/>
      <c r="G126" s="5"/>
    </row>
    <row r="127" spans="6:7" ht="21" customHeight="1">
      <c r="F127" s="4"/>
      <c r="G127" s="5"/>
    </row>
    <row r="128" spans="6:7" ht="21" customHeight="1">
      <c r="F128" s="4"/>
      <c r="G128" s="5"/>
    </row>
    <row r="129" spans="3:7" ht="21" customHeight="1">
      <c r="F129" s="4"/>
      <c r="G129" s="5"/>
    </row>
    <row r="130" spans="3:7" ht="21" customHeight="1">
      <c r="F130" s="4"/>
      <c r="G130" s="5"/>
    </row>
    <row r="131" spans="3:7" ht="21" customHeight="1">
      <c r="F131" s="4"/>
      <c r="G131" s="5"/>
    </row>
    <row r="132" spans="3:7" ht="21" customHeight="1">
      <c r="F132" s="4"/>
      <c r="G132" s="5"/>
    </row>
    <row r="133" spans="3:7" ht="21" customHeight="1">
      <c r="F133" s="4"/>
      <c r="G133" s="5"/>
    </row>
    <row r="134" spans="3:7" ht="21" customHeight="1">
      <c r="F134" s="4"/>
      <c r="G134" s="5"/>
    </row>
    <row r="135" spans="3:7" ht="21" customHeight="1">
      <c r="F135" s="4"/>
      <c r="G135" s="5"/>
    </row>
    <row r="136" spans="3:7" ht="21" customHeight="1">
      <c r="F136" s="4"/>
      <c r="G136" s="5"/>
    </row>
    <row r="137" spans="3:7" ht="21" customHeight="1">
      <c r="F137" s="4"/>
      <c r="G137" s="5"/>
    </row>
    <row r="138" spans="3:7" ht="21" customHeight="1">
      <c r="C138" t="s">
        <v>419</v>
      </c>
      <c r="F138" s="4"/>
      <c r="G138" s="5"/>
    </row>
    <row r="139" spans="3:7" ht="21" customHeight="1">
      <c r="F139" s="4"/>
      <c r="G139" s="5"/>
    </row>
    <row r="140" spans="3:7" ht="21" customHeight="1">
      <c r="F140" s="4"/>
      <c r="G140" s="5"/>
    </row>
    <row r="141" spans="3:7" ht="21" customHeight="1">
      <c r="F141" s="4"/>
      <c r="G141" s="5"/>
    </row>
    <row r="142" spans="3:7" ht="21" customHeight="1">
      <c r="F142" s="4"/>
      <c r="G142" s="5"/>
    </row>
    <row r="143" spans="3:7" ht="21" customHeight="1">
      <c r="F143" s="4"/>
      <c r="G143" s="5"/>
    </row>
    <row r="144" spans="3:7" ht="21" customHeight="1">
      <c r="F144" s="4"/>
      <c r="G144" s="5"/>
    </row>
    <row r="145" spans="6:7" ht="21" customHeight="1">
      <c r="F145" s="4"/>
      <c r="G145" s="5"/>
    </row>
    <row r="146" spans="6:7" ht="21" customHeight="1">
      <c r="F146" s="4"/>
      <c r="G146" s="5"/>
    </row>
    <row r="147" spans="6:7" ht="21" customHeight="1">
      <c r="F147" s="4"/>
      <c r="G147" s="5"/>
    </row>
    <row r="148" spans="6:7" ht="21" customHeight="1">
      <c r="F148" s="4"/>
      <c r="G148" s="5"/>
    </row>
    <row r="149" spans="6:7" ht="21" customHeight="1">
      <c r="F149" s="4"/>
      <c r="G149" s="5"/>
    </row>
    <row r="150" spans="6:7" ht="21" customHeight="1">
      <c r="F150" s="4"/>
      <c r="G150" s="5"/>
    </row>
    <row r="151" spans="6:7" ht="21" customHeight="1">
      <c r="F151" s="4"/>
      <c r="G151" s="5"/>
    </row>
    <row r="152" spans="6:7" ht="21" customHeight="1">
      <c r="F152" s="4"/>
      <c r="G152" s="5"/>
    </row>
    <row r="153" spans="6:7" ht="21" customHeight="1">
      <c r="F153" s="4"/>
      <c r="G153" s="5"/>
    </row>
    <row r="154" spans="6:7" ht="21" customHeight="1">
      <c r="F154" s="4"/>
      <c r="G154" s="5"/>
    </row>
    <row r="155" spans="6:7" ht="21" customHeight="1">
      <c r="F155" s="4"/>
      <c r="G155" s="5"/>
    </row>
    <row r="156" spans="6:7" ht="21" customHeight="1">
      <c r="F156" s="4"/>
      <c r="G156" s="5"/>
    </row>
    <row r="157" spans="6:7" ht="21" customHeight="1">
      <c r="F157" s="4"/>
      <c r="G157" s="5"/>
    </row>
    <row r="158" spans="6:7" ht="21" customHeight="1">
      <c r="F158" s="4"/>
      <c r="G158" s="5"/>
    </row>
    <row r="159" spans="6:7" ht="21" customHeight="1">
      <c r="F159" s="4"/>
      <c r="G159" s="5"/>
    </row>
    <row r="160" spans="6:7" ht="21" customHeight="1">
      <c r="F160" s="4"/>
      <c r="G160" s="5"/>
    </row>
    <row r="161" spans="6:7" ht="21" customHeight="1">
      <c r="F161" s="4"/>
      <c r="G161" s="5"/>
    </row>
    <row r="162" spans="6:7" ht="21" customHeight="1">
      <c r="F162" s="4"/>
      <c r="G162" s="5"/>
    </row>
    <row r="163" spans="6:7" ht="21" customHeight="1">
      <c r="F163" s="4"/>
      <c r="G163" s="5"/>
    </row>
    <row r="164" spans="6:7" ht="21" customHeight="1">
      <c r="F164" s="4"/>
      <c r="G164" s="5"/>
    </row>
    <row r="165" spans="6:7" ht="21" customHeight="1">
      <c r="F165" s="4"/>
      <c r="G165" s="5"/>
    </row>
    <row r="166" spans="6:7" ht="21" customHeight="1">
      <c r="F166" s="4"/>
      <c r="G166" s="5"/>
    </row>
    <row r="167" spans="6:7" ht="21" customHeight="1">
      <c r="F167" s="4"/>
      <c r="G167" s="5"/>
    </row>
    <row r="168" spans="6:7" ht="21" customHeight="1">
      <c r="F168" s="4"/>
      <c r="G168" s="5"/>
    </row>
    <row r="169" spans="6:7" ht="21" customHeight="1">
      <c r="F169" s="4"/>
      <c r="G169" s="5"/>
    </row>
    <row r="170" spans="6:7" ht="21" customHeight="1">
      <c r="F170" s="4"/>
      <c r="G170" s="5"/>
    </row>
    <row r="171" spans="6:7" ht="21" customHeight="1">
      <c r="F171" s="4"/>
      <c r="G171" s="5"/>
    </row>
    <row r="172" spans="6:7" ht="21" customHeight="1">
      <c r="F172" s="4"/>
      <c r="G172" s="5"/>
    </row>
    <row r="173" spans="6:7" ht="21" customHeight="1">
      <c r="F173" s="4"/>
      <c r="G173" s="5"/>
    </row>
    <row r="174" spans="6:7" ht="21" customHeight="1">
      <c r="F174" s="4"/>
      <c r="G174" s="5"/>
    </row>
    <row r="175" spans="6:7" ht="21" customHeight="1">
      <c r="F175" s="4"/>
      <c r="G175" s="5"/>
    </row>
    <row r="176" spans="6:7" ht="21" customHeight="1">
      <c r="F176" s="4"/>
      <c r="G176" s="5"/>
    </row>
    <row r="177" spans="3:7" ht="21" customHeight="1">
      <c r="F177" s="4"/>
      <c r="G177" s="5"/>
    </row>
    <row r="178" spans="3:7" ht="21" customHeight="1">
      <c r="F178" s="4"/>
      <c r="G178" s="5"/>
    </row>
    <row r="179" spans="3:7" ht="21" customHeight="1">
      <c r="F179" s="4"/>
      <c r="G179" s="5"/>
    </row>
    <row r="180" spans="3:7" ht="21" customHeight="1">
      <c r="F180" s="4"/>
      <c r="G180" s="5"/>
    </row>
    <row r="181" spans="3:7" ht="21" customHeight="1">
      <c r="F181" s="4"/>
      <c r="G181" s="5"/>
    </row>
    <row r="182" spans="3:7" ht="21" customHeight="1">
      <c r="F182" s="4"/>
      <c r="G182" s="5"/>
    </row>
    <row r="183" spans="3:7" ht="21" customHeight="1">
      <c r="C183" t="s">
        <v>418</v>
      </c>
      <c r="F183" s="4"/>
      <c r="G183" s="5"/>
    </row>
    <row r="184" spans="3:7" ht="21" customHeight="1">
      <c r="F184" s="4"/>
      <c r="G184" s="5"/>
    </row>
    <row r="185" spans="3:7" ht="21" customHeight="1">
      <c r="F185" s="4"/>
      <c r="G185" s="5"/>
    </row>
    <row r="186" spans="3:7" ht="21" customHeight="1">
      <c r="F186" s="4"/>
      <c r="G186" s="5"/>
    </row>
    <row r="187" spans="3:7" ht="21" customHeight="1">
      <c r="F187" s="4"/>
      <c r="G187" s="5"/>
    </row>
    <row r="188" spans="3:7" ht="21" customHeight="1">
      <c r="F188" s="4"/>
      <c r="G188" s="5"/>
    </row>
    <row r="189" spans="3:7" ht="21" customHeight="1">
      <c r="F189" s="4"/>
      <c r="G189" s="5"/>
    </row>
    <row r="190" spans="3:7" ht="21" customHeight="1">
      <c r="F190" s="4"/>
      <c r="G190" s="5"/>
    </row>
    <row r="191" spans="3:7" ht="21" customHeight="1">
      <c r="F191" s="4"/>
      <c r="G191" s="5"/>
    </row>
    <row r="192" spans="3:7" ht="21" customHeight="1">
      <c r="F192" s="4"/>
      <c r="G192" s="5"/>
    </row>
    <row r="193" spans="6:7" ht="21" customHeight="1">
      <c r="F193" s="4"/>
      <c r="G193" s="5"/>
    </row>
    <row r="194" spans="6:7" ht="21" customHeight="1">
      <c r="F194" s="4"/>
      <c r="G194" s="5"/>
    </row>
    <row r="195" spans="6:7" ht="21" customHeight="1">
      <c r="F195" s="4"/>
      <c r="G195" s="5"/>
    </row>
    <row r="196" spans="6:7" ht="21" customHeight="1">
      <c r="F196" s="137"/>
      <c r="G196" s="5"/>
    </row>
    <row r="197" spans="6:7" ht="21" customHeight="1">
      <c r="F197" s="4"/>
      <c r="G197" s="5"/>
    </row>
    <row r="198" spans="6:7" ht="21" customHeight="1">
      <c r="F198" s="4"/>
      <c r="G198" s="5"/>
    </row>
    <row r="199" spans="6:7" ht="21" customHeight="1">
      <c r="F199" s="4"/>
      <c r="G199" s="5"/>
    </row>
    <row r="200" spans="6:7" ht="21" customHeight="1">
      <c r="F200" s="4"/>
      <c r="G200" s="5"/>
    </row>
    <row r="201" spans="6:7" ht="21" customHeight="1">
      <c r="F201" s="4"/>
      <c r="G201" s="5"/>
    </row>
    <row r="202" spans="6:7" ht="21" customHeight="1">
      <c r="F202" s="4"/>
      <c r="G202" s="5"/>
    </row>
    <row r="203" spans="6:7" ht="21" customHeight="1">
      <c r="F203" s="4"/>
      <c r="G203" s="5"/>
    </row>
    <row r="204" spans="6:7" ht="21" customHeight="1">
      <c r="F204" s="4"/>
      <c r="G204" s="5"/>
    </row>
    <row r="205" spans="6:7" ht="21" customHeight="1">
      <c r="F205" s="4"/>
      <c r="G205" s="5"/>
    </row>
    <row r="206" spans="6:7" ht="21" customHeight="1">
      <c r="F206" s="4"/>
      <c r="G206" s="5"/>
    </row>
    <row r="207" spans="6:7" ht="21" customHeight="1">
      <c r="F207" s="4"/>
      <c r="G207" s="5"/>
    </row>
    <row r="208" spans="6:7" ht="21" customHeight="1">
      <c r="F208" s="4"/>
      <c r="G208" s="5"/>
    </row>
    <row r="209" spans="6:7" ht="21" customHeight="1">
      <c r="F209" s="4"/>
      <c r="G209" s="5"/>
    </row>
    <row r="210" spans="6:7" ht="21" customHeight="1">
      <c r="F210" s="4"/>
      <c r="G210" s="5"/>
    </row>
    <row r="211" spans="6:7" ht="21" customHeight="1">
      <c r="F211" s="4"/>
      <c r="G211" s="5"/>
    </row>
    <row r="212" spans="6:7" ht="21" customHeight="1">
      <c r="F212" s="4"/>
      <c r="G212" s="5"/>
    </row>
    <row r="213" spans="6:7" ht="21" customHeight="1">
      <c r="F213" s="4"/>
      <c r="G213" s="5"/>
    </row>
    <row r="214" spans="6:7" ht="21" customHeight="1">
      <c r="F214" s="4"/>
      <c r="G214" s="5"/>
    </row>
    <row r="215" spans="6:7" ht="21" customHeight="1">
      <c r="F215" s="4"/>
      <c r="G215" s="5"/>
    </row>
    <row r="216" spans="6:7" ht="21" customHeight="1">
      <c r="F216" s="4"/>
      <c r="G216" s="5"/>
    </row>
    <row r="217" spans="6:7" ht="21" customHeight="1">
      <c r="F217" s="4"/>
      <c r="G217" s="5"/>
    </row>
    <row r="218" spans="6:7" ht="21" customHeight="1">
      <c r="F218" s="4"/>
      <c r="G218" s="5"/>
    </row>
    <row r="219" spans="6:7" ht="21" customHeight="1">
      <c r="F219" s="4"/>
      <c r="G219" s="5"/>
    </row>
    <row r="220" spans="6:7" ht="21" customHeight="1">
      <c r="F220" s="4"/>
      <c r="G220" s="5"/>
    </row>
  </sheetData>
  <sheetProtection formatCells="0" formatColumns="0" formatRows="0" insertColumns="0" insertRows="0" insertHyperlinks="0" deleteColumns="0" deleteRows="0" selectLockedCells="1" sort="0" autoFilter="0" pivotTables="0"/>
  <phoneticPr fontId="41" type="noConversion"/>
  <dataValidations xWindow="627" yWindow="405" count="9">
    <dataValidation allowBlank="1" showInputMessage="1" showErrorMessage="1" prompt="Geben Sie in dieser Arbeitsmappe Kundendetails ein. Die eingegebenen Kundeninformationen werden auf dem Arbeitsblatt &quot;Handelsrechnung&quot; verwendet. Wählen Sie Zelle M1 aus, um zum Arbeitsblatt &quot;Handelsrechnung&quot; zu navigieren." sqref="A1" xr:uid="{00000000-0002-0000-0100-000000000000}"/>
    <dataValidation allowBlank="1" showInputMessage="1" showErrorMessage="1" prompt="Der Titel dieses Arbeitsblatts befindet sich in dieser Zelle." sqref="B1" xr:uid="{00000000-0002-0000-0100-000001000000}"/>
    <dataValidation allowBlank="1" showInputMessage="1" showErrorMessage="1" prompt="Geben Sie in dieser Spalte unter dieser Überschrift den Firmennamen ein. Verwenden Sie Überschriftsfilter, um bestimmte Einträge zu finden." sqref="B180:B207 B2:B179" xr:uid="{00000000-0002-0000-0100-000002000000}"/>
    <dataValidation allowBlank="1" showInputMessage="1" showErrorMessage="1" prompt="Geben Sie in dieser Spalte unter dieser Überschrift den Namen des Kontakts ein." sqref="D128 C210 C2:C9 C11:C176 C178:C207" xr:uid="{00000000-0002-0000-0100-000003000000}"/>
    <dataValidation allowBlank="1" showInputMessage="1" showErrorMessage="1" prompt="Geben Sie in dieser Spalte unter dieser Überschrift die Adresse ein." sqref="D124:D127 D133:D137 D129:D131 D192:D207 D2:D122 D139:D190" xr:uid="{00000000-0002-0000-0100-000004000000}"/>
    <dataValidation allowBlank="1" showInputMessage="1" showErrorMessage="1" prompt="Geben Sie in dieser Spalte unter dieser Überschrift den Ort ein." sqref="E135:E137 E2:E133 E139:E207" xr:uid="{00000000-0002-0000-0100-000006000000}"/>
    <dataValidation allowBlank="1" showInputMessage="1" showErrorMessage="1" prompt="Navigationslink zum Arbeitsblatt &quot;Handelsrechnung&quot; Diese Zelle wird nicht gedruckt." sqref="I1" xr:uid="{00000000-0002-0000-0100-00000C000000}"/>
    <dataValidation allowBlank="1" showInputMessage="1" showErrorMessage="1" prompt="Geben Sie in dieser Spalte unter dieser Überschrift die Telefonnummer ein." sqref="F2:F207" xr:uid="{00000000-0002-0000-0100-000009000000}"/>
    <dataValidation allowBlank="1" showInputMessage="1" showErrorMessage="1" prompt="Geben Sie in dieser Spalte unter dieser Überschrift die E-Mail-Adresse ein." sqref="G2:G207" xr:uid="{00000000-0002-0000-0100-00000A000000}"/>
  </dataValidations>
  <hyperlinks>
    <hyperlink ref="I1" location="Handelsrechnung!A1" tooltip="Auswählen, um zum Arbeitsblatt &quot;Handelsrechnung&quot; zu navigieren" display="Handelsrechnung" xr:uid="{00000000-0004-0000-0100-000002000000}"/>
    <hyperlink ref="G5" r:id="rId1" xr:uid="{93462214-E2F2-45E0-A8DF-48C68C3CAA9F}"/>
  </hyperlinks>
  <printOptions horizontalCentered="1"/>
  <pageMargins left="0.25" right="0.25" top="0.75" bottom="0.75" header="0.3" footer="0.3"/>
  <pageSetup paperSize="9" scale="89" fitToHeight="0" orientation="landscape" r:id="rId2"/>
  <headerFooter differentFirst="1">
    <oddFooter>Page &amp;P of &amp;N</oddFooter>
  </headerFooter>
  <drawing r:id="rId3"/>
  <tableParts count="1">
    <tablePart r:id="rId4"/>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29DD5-E86B-480E-994E-902381173476}">
  <sheetPr codeName="Tabelle9">
    <tabColor theme="6" tint="0.59999389629810485"/>
    <pageSetUpPr autoPageBreaks="0" fitToPage="1"/>
  </sheetPr>
  <dimension ref="A1:G21"/>
  <sheetViews>
    <sheetView showFormulas="1" showGridLines="0" topLeftCell="A2" zoomScale="115" zoomScaleNormal="115" workbookViewId="0">
      <selection activeCell="B4" sqref="B4:D20"/>
    </sheetView>
  </sheetViews>
  <sheetFormatPr baseColWidth="10" defaultColWidth="9.28515625" defaultRowHeight="30" customHeight="1"/>
  <cols>
    <col min="1" max="1" width="2.7109375" style="22" customWidth="1"/>
    <col min="2" max="2" width="4.140625" style="47" customWidth="1"/>
    <col min="3" max="3" width="21.140625" customWidth="1"/>
    <col min="4" max="4" width="14.85546875" customWidth="1"/>
    <col min="5" max="5" width="3.85546875" customWidth="1"/>
    <col min="6" max="6" width="2.7109375" style="53" customWidth="1"/>
    <col min="7" max="7" width="14.85546875" style="53" customWidth="1"/>
    <col min="8" max="8" width="14.85546875" customWidth="1"/>
  </cols>
  <sheetData>
    <row r="1" spans="2:7" ht="30" customHeight="1">
      <c r="E1" s="234"/>
      <c r="F1" s="234"/>
    </row>
    <row r="2" spans="2:7" ht="42" customHeight="1">
      <c r="B2" s="235" t="s">
        <v>121</v>
      </c>
      <c r="C2" s="235"/>
      <c r="D2" s="235"/>
      <c r="E2" s="234"/>
      <c r="F2" s="234"/>
    </row>
    <row r="4" spans="2:7" ht="30" customHeight="1">
      <c r="B4" s="161" t="s">
        <v>122</v>
      </c>
      <c r="C4" s="162" t="s">
        <v>123</v>
      </c>
      <c r="D4" s="162" t="s">
        <v>124</v>
      </c>
      <c r="F4" s="126" t="s">
        <v>327</v>
      </c>
      <c r="G4" s="125" t="s">
        <v>362</v>
      </c>
    </row>
    <row r="5" spans="2:7" ht="21" customHeight="1">
      <c r="B5" s="163">
        <v>3</v>
      </c>
      <c r="C5" s="21" t="s">
        <v>149</v>
      </c>
      <c r="D5" s="21" t="s">
        <v>101</v>
      </c>
      <c r="F5" s="126" t="s">
        <v>328</v>
      </c>
      <c r="G5" s="236" t="s">
        <v>329</v>
      </c>
    </row>
    <row r="6" spans="2:7" ht="21" customHeight="1">
      <c r="B6" s="163">
        <v>1</v>
      </c>
      <c r="C6" s="21" t="s">
        <v>74</v>
      </c>
      <c r="D6" s="21" t="s">
        <v>75</v>
      </c>
      <c r="F6" s="126"/>
      <c r="G6" s="236"/>
    </row>
    <row r="7" spans="2:7" ht="21" customHeight="1">
      <c r="B7" s="163">
        <v>1</v>
      </c>
      <c r="C7" s="21" t="s">
        <v>44</v>
      </c>
      <c r="D7" s="21" t="s">
        <v>45</v>
      </c>
      <c r="G7" s="236"/>
    </row>
    <row r="8" spans="2:7" ht="21" customHeight="1">
      <c r="B8" s="163">
        <v>2</v>
      </c>
      <c r="C8" s="164" t="s">
        <v>410</v>
      </c>
      <c r="D8" s="21" t="s">
        <v>101</v>
      </c>
      <c r="G8" s="236"/>
    </row>
    <row r="9" spans="2:7" ht="21" customHeight="1">
      <c r="B9" s="163">
        <v>4</v>
      </c>
      <c r="C9" s="21" t="s">
        <v>271</v>
      </c>
      <c r="D9" s="21" t="s">
        <v>62</v>
      </c>
      <c r="G9" s="236"/>
    </row>
    <row r="10" spans="2:7" ht="21" customHeight="1">
      <c r="B10" s="165">
        <v>4</v>
      </c>
      <c r="C10" s="21" t="s">
        <v>358</v>
      </c>
      <c r="D10" s="21" t="s">
        <v>64</v>
      </c>
      <c r="G10" s="236"/>
    </row>
    <row r="11" spans="2:7" ht="21" customHeight="1">
      <c r="B11" s="163">
        <v>2</v>
      </c>
      <c r="C11" s="21" t="s">
        <v>87</v>
      </c>
      <c r="D11" s="21" t="s">
        <v>36</v>
      </c>
    </row>
    <row r="12" spans="2:7" ht="21" customHeight="1">
      <c r="B12" s="165">
        <v>4</v>
      </c>
      <c r="C12" s="21" t="s">
        <v>55</v>
      </c>
      <c r="D12" s="21" t="s">
        <v>43</v>
      </c>
    </row>
    <row r="13" spans="2:7" ht="21" customHeight="1">
      <c r="B13" s="165">
        <v>2</v>
      </c>
      <c r="C13" s="21" t="s">
        <v>411</v>
      </c>
      <c r="D13" s="21" t="s">
        <v>412</v>
      </c>
    </row>
    <row r="14" spans="2:7" ht="21" customHeight="1">
      <c r="B14" s="165">
        <v>2</v>
      </c>
      <c r="C14" s="21" t="s">
        <v>132</v>
      </c>
      <c r="D14" s="21" t="s">
        <v>133</v>
      </c>
    </row>
    <row r="15" spans="2:7" ht="21" customHeight="1">
      <c r="B15" s="165">
        <v>2</v>
      </c>
      <c r="C15" s="21" t="s">
        <v>245</v>
      </c>
      <c r="D15" s="21" t="s">
        <v>36</v>
      </c>
    </row>
    <row r="16" spans="2:7" ht="21" customHeight="1">
      <c r="B16" s="47">
        <v>2</v>
      </c>
      <c r="C16" t="s">
        <v>88</v>
      </c>
      <c r="D16" t="s">
        <v>75</v>
      </c>
    </row>
    <row r="17" spans="2:4" ht="21" customHeight="1">
      <c r="B17" s="47">
        <v>2</v>
      </c>
      <c r="C17" t="s">
        <v>309</v>
      </c>
      <c r="D17" t="s">
        <v>79</v>
      </c>
    </row>
    <row r="18" spans="2:4" ht="21" customHeight="1">
      <c r="B18" s="47">
        <v>2</v>
      </c>
      <c r="C18" t="s">
        <v>377</v>
      </c>
      <c r="D18" t="s">
        <v>59</v>
      </c>
    </row>
    <row r="19" spans="2:4" ht="21" customHeight="1">
      <c r="B19" s="160">
        <v>2</v>
      </c>
      <c r="C19" s="21" t="s">
        <v>272</v>
      </c>
      <c r="D19" s="21" t="s">
        <v>59</v>
      </c>
    </row>
    <row r="20" spans="2:4" ht="21" customHeight="1">
      <c r="B20" s="47">
        <v>2</v>
      </c>
      <c r="C20" t="s">
        <v>248</v>
      </c>
      <c r="D20" t="s">
        <v>99</v>
      </c>
    </row>
    <row r="21" spans="2:4" ht="21" customHeight="1"/>
  </sheetData>
  <sheetProtection formatCells="0" formatColumns="0" formatRows="0" insertColumns="0" insertRows="0" insertHyperlinks="0" deleteColumns="0" deleteRows="0" selectLockedCells="1" sort="0" autoFilter="0" pivotTables="0"/>
  <mergeCells count="4">
    <mergeCell ref="F1:F2"/>
    <mergeCell ref="E1:E2"/>
    <mergeCell ref="B2:D2"/>
    <mergeCell ref="G5:G10"/>
  </mergeCells>
  <phoneticPr fontId="41" type="noConversion"/>
  <dataValidations disablePrompts="1" count="2">
    <dataValidation allowBlank="1" showInputMessage="1" showErrorMessage="1" prompt="Geben Sie in dieser Arbeitsmappe Kundendetails ein. Die eingegebenen Kundeninformationen werden auf dem Arbeitsblatt &quot;Handelsrechnung&quot; verwendet. Wählen Sie Zelle M1 aus, um zum Arbeitsblatt &quot;Handelsrechnung&quot; zu navigieren." sqref="A2" xr:uid="{D0239970-58DE-4AF4-9A36-B1829583D286}"/>
    <dataValidation allowBlank="1" showInputMessage="1" showErrorMessage="1" prompt="Der Titel dieses Arbeitsblatts befindet sich in dieser Zelle." sqref="B2" xr:uid="{4A61A7A1-2D2F-4EB6-8869-E09A373EF67C}"/>
  </dataValidations>
  <hyperlinks>
    <hyperlink ref="G4" r:id="rId1" xr:uid="{1B46910B-B72E-48E5-8671-8A5A9F4E101C}"/>
  </hyperlinks>
  <printOptions horizontalCentered="1"/>
  <pageMargins left="0.23622047244094491" right="0.23622047244094491" top="0.15748031496062992" bottom="0.15748031496062992" header="0.31496062992125984" footer="0.31496062992125984"/>
  <pageSetup paperSize="9" scale="45" orientation="portrait" r:id="rId2"/>
  <headerFooter differentFirst="1">
    <oddFoote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60290-23DD-45E8-BF30-F1447007687C}">
  <sheetPr codeName="Tabelle7">
    <tabColor rgb="FFFFC000"/>
  </sheetPr>
  <dimension ref="B2:E43"/>
  <sheetViews>
    <sheetView topLeftCell="A46" workbookViewId="0">
      <selection activeCell="I34" sqref="I34"/>
    </sheetView>
  </sheetViews>
  <sheetFormatPr baseColWidth="10" defaultRowHeight="15"/>
  <cols>
    <col min="2" max="2" width="15.28515625" customWidth="1"/>
    <col min="3" max="3" width="45.7109375" customWidth="1"/>
    <col min="4" max="5" width="22.85546875" customWidth="1"/>
  </cols>
  <sheetData>
    <row r="2" spans="2:5">
      <c r="B2" t="s">
        <v>93</v>
      </c>
    </row>
    <row r="3" spans="2:5">
      <c r="C3" t="s">
        <v>95</v>
      </c>
      <c r="D3" t="s">
        <v>96</v>
      </c>
      <c r="E3" t="s">
        <v>97</v>
      </c>
    </row>
    <row r="4" spans="2:5" ht="105" customHeight="1">
      <c r="B4" t="s">
        <v>94</v>
      </c>
      <c r="C4" t="s">
        <v>141</v>
      </c>
      <c r="D4" t="s">
        <v>89</v>
      </c>
      <c r="E4" t="s">
        <v>90</v>
      </c>
    </row>
    <row r="5" spans="2:5">
      <c r="C5" t="s">
        <v>90</v>
      </c>
    </row>
    <row r="6" spans="2:5" ht="105">
      <c r="B6" t="s">
        <v>104</v>
      </c>
      <c r="C6" t="s">
        <v>105</v>
      </c>
    </row>
    <row r="7" spans="2:5" ht="30">
      <c r="C7" t="s">
        <v>106</v>
      </c>
    </row>
    <row r="8" spans="2:5" ht="30">
      <c r="B8" t="s">
        <v>117</v>
      </c>
      <c r="C8" t="s">
        <v>118</v>
      </c>
    </row>
    <row r="9" spans="2:5" ht="30">
      <c r="C9" s="49" t="s">
        <v>119</v>
      </c>
    </row>
    <row r="10" spans="2:5">
      <c r="C10" s="49"/>
    </row>
    <row r="11" spans="2:5" ht="15" customHeight="1">
      <c r="B11" t="s">
        <v>128</v>
      </c>
      <c r="C11" s="222" t="s">
        <v>129</v>
      </c>
    </row>
    <row r="12" spans="2:5" ht="30" customHeight="1">
      <c r="C12" s="222"/>
    </row>
    <row r="13" spans="2:5">
      <c r="C13" s="22"/>
    </row>
    <row r="14" spans="2:5" ht="30">
      <c r="B14" t="s">
        <v>102</v>
      </c>
      <c r="C14" t="s">
        <v>142</v>
      </c>
    </row>
    <row r="16" spans="2:5" ht="60">
      <c r="B16" t="s">
        <v>136</v>
      </c>
      <c r="C16" t="s">
        <v>146</v>
      </c>
    </row>
    <row r="17" spans="2:5" ht="45">
      <c r="C17" t="s">
        <v>144</v>
      </c>
    </row>
    <row r="18" spans="2:5" ht="30">
      <c r="C18" t="s">
        <v>145</v>
      </c>
    </row>
    <row r="20" spans="2:5" ht="30">
      <c r="B20" t="s">
        <v>152</v>
      </c>
      <c r="C20" t="s">
        <v>150</v>
      </c>
    </row>
    <row r="21" spans="2:5" ht="30">
      <c r="C21" t="s">
        <v>151</v>
      </c>
    </row>
    <row r="23" spans="2:5" ht="180">
      <c r="B23" t="s">
        <v>160</v>
      </c>
      <c r="C23" t="s">
        <v>161</v>
      </c>
      <c r="D23" t="s">
        <v>162</v>
      </c>
      <c r="E23" t="s">
        <v>163</v>
      </c>
    </row>
    <row r="24" spans="2:5" ht="60">
      <c r="C24" t="s">
        <v>164</v>
      </c>
    </row>
    <row r="26" spans="2:5">
      <c r="B26" t="s">
        <v>172</v>
      </c>
      <c r="C26" t="s">
        <v>173</v>
      </c>
    </row>
    <row r="27" spans="2:5" ht="60">
      <c r="C27" s="52" t="s">
        <v>174</v>
      </c>
    </row>
    <row r="28" spans="2:5" ht="45">
      <c r="C28" t="s">
        <v>175</v>
      </c>
    </row>
    <row r="29" spans="2:5" ht="45">
      <c r="C29" t="s">
        <v>176</v>
      </c>
    </row>
    <row r="31" spans="2:5" ht="90">
      <c r="C31" t="s">
        <v>218</v>
      </c>
    </row>
    <row r="33" spans="2:4" ht="90">
      <c r="B33" t="s">
        <v>110</v>
      </c>
      <c r="C33" t="s">
        <v>218</v>
      </c>
      <c r="D33" t="s">
        <v>226</v>
      </c>
    </row>
    <row r="34" spans="2:4" ht="45">
      <c r="C34" t="s">
        <v>225</v>
      </c>
    </row>
    <row r="36" spans="2:4" ht="30">
      <c r="B36" t="s">
        <v>229</v>
      </c>
      <c r="C36" t="s">
        <v>230</v>
      </c>
      <c r="D36" t="s">
        <v>234</v>
      </c>
    </row>
    <row r="37" spans="2:4">
      <c r="C37" t="s">
        <v>231</v>
      </c>
    </row>
    <row r="38" spans="2:4" ht="30">
      <c r="C38" t="s">
        <v>232</v>
      </c>
    </row>
    <row r="39" spans="2:4" ht="45">
      <c r="C39" t="s">
        <v>233</v>
      </c>
    </row>
    <row r="43" spans="2:4" ht="30">
      <c r="C43" s="98" t="s">
        <v>263</v>
      </c>
    </row>
  </sheetData>
  <mergeCells count="1">
    <mergeCell ref="C11:C12"/>
  </mergeCells>
  <pageMargins left="0.7" right="0.7" top="0.78740157499999996" bottom="0.78740157499999996"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6EEF1-DF7E-43FD-AB0B-A169F20460C1}">
  <sheetPr codeName="Tabelle10">
    <pageSetUpPr fitToPage="1"/>
  </sheetPr>
  <dimension ref="A1:X83"/>
  <sheetViews>
    <sheetView zoomScaleNormal="100" workbookViewId="0">
      <pane xSplit="1" ySplit="1" topLeftCell="H46" activePane="bottomRight" state="frozen"/>
      <selection pane="topRight" activeCell="B1" sqref="B1"/>
      <selection pane="bottomLeft" activeCell="A2" sqref="A2"/>
      <selection pane="bottomRight" activeCell="U74" sqref="U74"/>
    </sheetView>
  </sheetViews>
  <sheetFormatPr baseColWidth="10" defaultRowHeight="15"/>
  <cols>
    <col min="1" max="1" width="37.28515625" style="54" customWidth="1"/>
    <col min="2" max="2" width="8.140625" style="54" customWidth="1"/>
    <col min="3" max="3" width="7.5703125" style="54" bestFit="1" customWidth="1"/>
    <col min="4" max="4" width="8.5703125" style="54" customWidth="1"/>
    <col min="5" max="15" width="6" style="54" customWidth="1"/>
    <col min="16" max="16" width="5.85546875" style="54" customWidth="1"/>
    <col min="17" max="17" width="11" style="54" customWidth="1"/>
    <col min="18" max="19" width="6.5703125" style="54" customWidth="1"/>
    <col min="20" max="20" width="11.42578125" style="54" customWidth="1"/>
    <col min="21" max="21" width="3.7109375" style="54" bestFit="1" customWidth="1"/>
    <col min="22" max="22" width="7.140625" style="54" customWidth="1"/>
    <col min="23" max="23" width="11" style="54" bestFit="1" customWidth="1"/>
    <col min="24" max="24" width="2.85546875" style="54" customWidth="1"/>
    <col min="25" max="16384" width="11.42578125" style="54"/>
  </cols>
  <sheetData>
    <row r="1" spans="1:24" ht="116.25" customHeight="1">
      <c r="A1" s="55" t="s">
        <v>121</v>
      </c>
      <c r="B1" s="185" t="s">
        <v>35</v>
      </c>
      <c r="C1" s="87" t="s">
        <v>401</v>
      </c>
      <c r="D1" s="88" t="s">
        <v>402</v>
      </c>
      <c r="E1" s="89" t="s">
        <v>182</v>
      </c>
      <c r="F1" s="90" t="s">
        <v>181</v>
      </c>
      <c r="G1" s="90" t="s">
        <v>180</v>
      </c>
      <c r="H1" s="90" t="s">
        <v>179</v>
      </c>
      <c r="I1" s="91" t="s">
        <v>189</v>
      </c>
      <c r="J1" s="88" t="s">
        <v>221</v>
      </c>
      <c r="K1" s="88" t="s">
        <v>222</v>
      </c>
      <c r="L1" s="92" t="s">
        <v>403</v>
      </c>
      <c r="M1" s="92" t="s">
        <v>404</v>
      </c>
      <c r="N1" s="92" t="s">
        <v>252</v>
      </c>
      <c r="O1" s="92" t="s">
        <v>405</v>
      </c>
      <c r="P1" s="91" t="s">
        <v>190</v>
      </c>
      <c r="Q1" s="92" t="s">
        <v>197</v>
      </c>
      <c r="R1" s="91" t="s">
        <v>191</v>
      </c>
      <c r="S1" s="119" t="s">
        <v>323</v>
      </c>
      <c r="T1" s="115" t="s">
        <v>315</v>
      </c>
      <c r="U1" s="179" t="s">
        <v>406</v>
      </c>
      <c r="V1" s="127" t="s">
        <v>350</v>
      </c>
      <c r="W1" s="93" t="s">
        <v>250</v>
      </c>
      <c r="X1" s="173"/>
    </row>
    <row r="2" spans="1:24" ht="15.75">
      <c r="A2" s="184" t="s">
        <v>166</v>
      </c>
      <c r="B2" s="184"/>
      <c r="C2" s="129">
        <v>19</v>
      </c>
      <c r="D2" s="131">
        <v>24</v>
      </c>
      <c r="E2" s="82"/>
      <c r="F2" s="82"/>
      <c r="G2" s="82"/>
      <c r="H2" s="82"/>
      <c r="I2" s="83">
        <f t="shared" ref="I2:I8" si="0">E2+F2+G2+H2</f>
        <v>0</v>
      </c>
      <c r="J2" s="81"/>
      <c r="K2" s="81"/>
      <c r="L2" s="84"/>
      <c r="M2" s="84"/>
      <c r="N2" s="84"/>
      <c r="O2" s="84"/>
      <c r="P2" s="83">
        <f t="shared" ref="P2:P18" si="1">I2*C2</f>
        <v>0</v>
      </c>
      <c r="Q2" s="84">
        <f t="shared" ref="Q2:Q19" si="2">O2*C2</f>
        <v>0</v>
      </c>
      <c r="R2" s="83">
        <f t="shared" ref="R2:R18" si="3">I2*D2</f>
        <v>0</v>
      </c>
      <c r="S2" s="83"/>
      <c r="T2" s="83">
        <f t="shared" ref="T2:T19" si="4">R2-P2</f>
        <v>0</v>
      </c>
      <c r="U2" s="180"/>
      <c r="V2" s="85"/>
      <c r="W2" s="171">
        <f t="shared" ref="W2:W19" si="5">SUM(C2*U2)</f>
        <v>0</v>
      </c>
      <c r="X2" s="174"/>
    </row>
    <row r="3" spans="1:24" ht="15.75">
      <c r="A3" s="184" t="s">
        <v>132</v>
      </c>
      <c r="B3" s="184"/>
      <c r="C3" s="129">
        <v>12.04</v>
      </c>
      <c r="D3" s="131">
        <v>15</v>
      </c>
      <c r="E3" s="82"/>
      <c r="F3" s="82"/>
      <c r="G3" s="82"/>
      <c r="H3" s="82"/>
      <c r="I3" s="83">
        <f t="shared" si="0"/>
        <v>0</v>
      </c>
      <c r="J3" s="81"/>
      <c r="K3" s="81"/>
      <c r="L3" s="84"/>
      <c r="M3" s="84"/>
      <c r="N3" s="84"/>
      <c r="O3" s="84"/>
      <c r="P3" s="83">
        <f t="shared" si="1"/>
        <v>0</v>
      </c>
      <c r="Q3" s="84">
        <f t="shared" si="2"/>
        <v>0</v>
      </c>
      <c r="R3" s="83">
        <f t="shared" si="3"/>
        <v>0</v>
      </c>
      <c r="S3" s="83"/>
      <c r="T3" s="83">
        <f t="shared" si="4"/>
        <v>0</v>
      </c>
      <c r="U3" s="180"/>
      <c r="V3" s="85"/>
      <c r="W3" s="171">
        <f t="shared" si="5"/>
        <v>0</v>
      </c>
      <c r="X3" s="174"/>
    </row>
    <row r="4" spans="1:24" ht="15.75">
      <c r="A4" s="184" t="s">
        <v>72</v>
      </c>
      <c r="B4" s="184"/>
      <c r="C4" s="129">
        <v>19.54</v>
      </c>
      <c r="D4" s="131">
        <v>6</v>
      </c>
      <c r="E4" s="82"/>
      <c r="F4" s="82"/>
      <c r="G4" s="82"/>
      <c r="H4" s="82"/>
      <c r="I4" s="83">
        <f t="shared" si="0"/>
        <v>0</v>
      </c>
      <c r="J4" s="81"/>
      <c r="K4" s="81"/>
      <c r="L4" s="84"/>
      <c r="M4" s="84"/>
      <c r="N4" s="84"/>
      <c r="O4" s="84"/>
      <c r="P4" s="83">
        <f t="shared" si="1"/>
        <v>0</v>
      </c>
      <c r="Q4" s="84">
        <f t="shared" si="2"/>
        <v>0</v>
      </c>
      <c r="R4" s="83">
        <f t="shared" si="3"/>
        <v>0</v>
      </c>
      <c r="S4" s="83"/>
      <c r="T4" s="83">
        <f t="shared" si="4"/>
        <v>0</v>
      </c>
      <c r="U4" s="180"/>
      <c r="V4" s="85"/>
      <c r="W4" s="171">
        <f t="shared" si="5"/>
        <v>0</v>
      </c>
      <c r="X4" s="174"/>
    </row>
    <row r="5" spans="1:24" ht="15.75">
      <c r="A5" s="184" t="s">
        <v>66</v>
      </c>
      <c r="B5" s="184"/>
      <c r="C5" s="129">
        <v>16.21</v>
      </c>
      <c r="D5" s="131">
        <v>22</v>
      </c>
      <c r="E5" s="82"/>
      <c r="F5" s="82"/>
      <c r="G5" s="82"/>
      <c r="H5" s="82"/>
      <c r="I5" s="83">
        <f t="shared" si="0"/>
        <v>0</v>
      </c>
      <c r="J5" s="81"/>
      <c r="K5" s="81"/>
      <c r="L5" s="84"/>
      <c r="M5" s="84"/>
      <c r="N5" s="84"/>
      <c r="O5" s="84"/>
      <c r="P5" s="83">
        <f t="shared" si="1"/>
        <v>0</v>
      </c>
      <c r="Q5" s="84">
        <f t="shared" si="2"/>
        <v>0</v>
      </c>
      <c r="R5" s="83">
        <f t="shared" si="3"/>
        <v>0</v>
      </c>
      <c r="S5" s="83"/>
      <c r="T5" s="83">
        <f t="shared" si="4"/>
        <v>0</v>
      </c>
      <c r="U5" s="180"/>
      <c r="V5" s="85"/>
      <c r="W5" s="171">
        <f t="shared" si="5"/>
        <v>0</v>
      </c>
      <c r="X5" s="174"/>
    </row>
    <row r="6" spans="1:24" ht="15.75">
      <c r="A6" s="184" t="s">
        <v>251</v>
      </c>
      <c r="B6" s="186"/>
      <c r="C6" s="130">
        <v>20</v>
      </c>
      <c r="D6" s="131">
        <v>25</v>
      </c>
      <c r="E6" s="82"/>
      <c r="F6" s="82"/>
      <c r="G6" s="82"/>
      <c r="H6" s="82"/>
      <c r="I6" s="83">
        <f t="shared" si="0"/>
        <v>0</v>
      </c>
      <c r="J6" s="81"/>
      <c r="K6" s="81"/>
      <c r="L6" s="84"/>
      <c r="M6" s="84"/>
      <c r="N6" s="84"/>
      <c r="O6" s="84"/>
      <c r="P6" s="83">
        <f t="shared" si="1"/>
        <v>0</v>
      </c>
      <c r="Q6" s="84">
        <f t="shared" si="2"/>
        <v>0</v>
      </c>
      <c r="R6" s="83">
        <f t="shared" si="3"/>
        <v>0</v>
      </c>
      <c r="S6" s="83"/>
      <c r="T6" s="83">
        <f t="shared" si="4"/>
        <v>0</v>
      </c>
      <c r="U6" s="180"/>
      <c r="V6" s="85"/>
      <c r="W6" s="171">
        <f t="shared" si="5"/>
        <v>0</v>
      </c>
      <c r="X6" s="174"/>
    </row>
    <row r="7" spans="1:24" ht="15.75">
      <c r="A7" s="184" t="s">
        <v>270</v>
      </c>
      <c r="B7" s="186"/>
      <c r="C7" s="130">
        <v>13.56</v>
      </c>
      <c r="D7" s="131">
        <v>19</v>
      </c>
      <c r="E7" s="82"/>
      <c r="F7" s="82"/>
      <c r="G7" s="82"/>
      <c r="H7" s="82"/>
      <c r="I7" s="83">
        <f>E7+F7+G7+H7</f>
        <v>0</v>
      </c>
      <c r="J7" s="81"/>
      <c r="K7" s="81"/>
      <c r="L7" s="84"/>
      <c r="M7" s="84"/>
      <c r="N7" s="84"/>
      <c r="O7" s="84"/>
      <c r="P7" s="83">
        <f>I7*C7</f>
        <v>0</v>
      </c>
      <c r="Q7" s="84">
        <f>O7*C7</f>
        <v>0</v>
      </c>
      <c r="R7" s="83">
        <f>I7*D7</f>
        <v>0</v>
      </c>
      <c r="S7" s="83"/>
      <c r="T7" s="83">
        <f t="shared" si="4"/>
        <v>0</v>
      </c>
      <c r="U7" s="180"/>
      <c r="V7" s="85"/>
      <c r="W7" s="171">
        <f t="shared" si="5"/>
        <v>0</v>
      </c>
      <c r="X7" s="174"/>
    </row>
    <row r="8" spans="1:24" ht="15.75">
      <c r="A8" s="184" t="s">
        <v>102</v>
      </c>
      <c r="B8" s="184"/>
      <c r="C8" s="129">
        <v>26.89</v>
      </c>
      <c r="D8" s="131">
        <v>40</v>
      </c>
      <c r="E8" s="82"/>
      <c r="F8" s="82"/>
      <c r="G8" s="82"/>
      <c r="H8" s="82"/>
      <c r="I8" s="83">
        <f t="shared" si="0"/>
        <v>0</v>
      </c>
      <c r="J8" s="81"/>
      <c r="K8" s="81"/>
      <c r="L8" s="84"/>
      <c r="M8" s="84"/>
      <c r="N8" s="84"/>
      <c r="O8" s="84"/>
      <c r="P8" s="83">
        <f t="shared" si="1"/>
        <v>0</v>
      </c>
      <c r="Q8" s="84">
        <f t="shared" si="2"/>
        <v>0</v>
      </c>
      <c r="R8" s="83">
        <f t="shared" si="3"/>
        <v>0</v>
      </c>
      <c r="S8" s="83"/>
      <c r="T8" s="83">
        <f t="shared" si="4"/>
        <v>0</v>
      </c>
      <c r="U8" s="180"/>
      <c r="V8" s="85"/>
      <c r="W8" s="171">
        <f t="shared" si="5"/>
        <v>0</v>
      </c>
      <c r="X8" s="174"/>
    </row>
    <row r="9" spans="1:24" ht="15.75">
      <c r="A9" s="184" t="s">
        <v>98</v>
      </c>
      <c r="B9" s="184"/>
      <c r="C9" s="129">
        <v>13.91</v>
      </c>
      <c r="D9" s="131">
        <v>17</v>
      </c>
      <c r="E9" s="82"/>
      <c r="F9" s="82"/>
      <c r="G9" s="82"/>
      <c r="H9" s="82"/>
      <c r="I9" s="83">
        <f>E9+F9+G9+H9</f>
        <v>0</v>
      </c>
      <c r="J9" s="81"/>
      <c r="K9" s="81"/>
      <c r="L9" s="84"/>
      <c r="M9" s="84"/>
      <c r="N9" s="84"/>
      <c r="O9" s="84"/>
      <c r="P9" s="83">
        <f t="shared" si="1"/>
        <v>0</v>
      </c>
      <c r="Q9" s="84">
        <f t="shared" si="2"/>
        <v>0</v>
      </c>
      <c r="R9" s="83">
        <f t="shared" si="3"/>
        <v>0</v>
      </c>
      <c r="S9" s="83"/>
      <c r="T9" s="83">
        <f t="shared" si="4"/>
        <v>0</v>
      </c>
      <c r="U9" s="180"/>
      <c r="V9" s="85"/>
      <c r="W9" s="171">
        <f t="shared" si="5"/>
        <v>0</v>
      </c>
      <c r="X9" s="174"/>
    </row>
    <row r="10" spans="1:24" ht="15.75">
      <c r="A10" s="184" t="s">
        <v>407</v>
      </c>
      <c r="B10" s="184"/>
      <c r="C10" s="129">
        <v>20</v>
      </c>
      <c r="D10" s="131">
        <v>19</v>
      </c>
      <c r="E10" s="82"/>
      <c r="F10" s="82"/>
      <c r="G10" s="82"/>
      <c r="H10" s="82"/>
      <c r="I10" s="83">
        <f>E10+F10+G10+H10</f>
        <v>0</v>
      </c>
      <c r="J10" s="81"/>
      <c r="K10" s="81"/>
      <c r="L10" s="84"/>
      <c r="M10" s="84"/>
      <c r="N10" s="84"/>
      <c r="O10" s="84"/>
      <c r="P10" s="83">
        <f t="shared" si="1"/>
        <v>0</v>
      </c>
      <c r="Q10" s="84">
        <f t="shared" si="2"/>
        <v>0</v>
      </c>
      <c r="R10" s="83">
        <f t="shared" si="3"/>
        <v>0</v>
      </c>
      <c r="S10" s="83"/>
      <c r="T10" s="83">
        <f t="shared" si="4"/>
        <v>0</v>
      </c>
      <c r="U10" s="180"/>
      <c r="V10" s="85"/>
      <c r="W10" s="171">
        <f t="shared" si="5"/>
        <v>0</v>
      </c>
      <c r="X10" s="174"/>
    </row>
    <row r="11" spans="1:24" ht="15.75">
      <c r="A11" s="184" t="s">
        <v>227</v>
      </c>
      <c r="B11" s="184"/>
      <c r="C11" s="129">
        <v>18</v>
      </c>
      <c r="D11" s="131">
        <v>22</v>
      </c>
      <c r="E11" s="82"/>
      <c r="F11" s="82"/>
      <c r="G11" s="82"/>
      <c r="H11" s="82"/>
      <c r="I11" s="83">
        <f>E11+F11+G11+H11</f>
        <v>0</v>
      </c>
      <c r="J11" s="81"/>
      <c r="K11" s="81"/>
      <c r="L11" s="84"/>
      <c r="M11" s="84"/>
      <c r="N11" s="84"/>
      <c r="O11" s="84"/>
      <c r="P11" s="83">
        <f t="shared" si="1"/>
        <v>0</v>
      </c>
      <c r="Q11" s="84">
        <f t="shared" si="2"/>
        <v>0</v>
      </c>
      <c r="R11" s="83">
        <f t="shared" si="3"/>
        <v>0</v>
      </c>
      <c r="S11" s="83"/>
      <c r="T11" s="83">
        <f t="shared" si="4"/>
        <v>0</v>
      </c>
      <c r="U11" s="180"/>
      <c r="V11" s="85"/>
      <c r="W11" s="171">
        <f t="shared" si="5"/>
        <v>0</v>
      </c>
      <c r="X11" s="174"/>
    </row>
    <row r="12" spans="1:24" ht="15.75">
      <c r="A12" s="184" t="s">
        <v>149</v>
      </c>
      <c r="B12" s="184"/>
      <c r="C12" s="129">
        <v>19</v>
      </c>
      <c r="D12" s="131">
        <v>24</v>
      </c>
      <c r="E12" s="82"/>
      <c r="F12" s="82"/>
      <c r="G12" s="82"/>
      <c r="H12" s="82"/>
      <c r="I12" s="83">
        <f t="shared" ref="I12:I16" si="6">E12+F12+G12+H12</f>
        <v>0</v>
      </c>
      <c r="J12" s="81"/>
      <c r="K12" s="81"/>
      <c r="L12" s="84"/>
      <c r="M12" s="84"/>
      <c r="N12" s="84"/>
      <c r="O12" s="84"/>
      <c r="P12" s="83">
        <f t="shared" si="1"/>
        <v>0</v>
      </c>
      <c r="Q12" s="84">
        <f t="shared" si="2"/>
        <v>0</v>
      </c>
      <c r="R12" s="83">
        <f t="shared" si="3"/>
        <v>0</v>
      </c>
      <c r="S12" s="83"/>
      <c r="T12" s="83">
        <f t="shared" si="4"/>
        <v>0</v>
      </c>
      <c r="U12" s="180"/>
      <c r="V12" s="85"/>
      <c r="W12" s="171">
        <f t="shared" si="5"/>
        <v>0</v>
      </c>
      <c r="X12" s="174"/>
    </row>
    <row r="13" spans="1:24" ht="15.75">
      <c r="A13" s="184" t="s">
        <v>88</v>
      </c>
      <c r="B13" s="184"/>
      <c r="C13" s="129">
        <v>8.8699999999999992</v>
      </c>
      <c r="D13" s="131">
        <v>13</v>
      </c>
      <c r="E13" s="82"/>
      <c r="F13" s="82"/>
      <c r="G13" s="82"/>
      <c r="H13" s="82"/>
      <c r="I13" s="83">
        <f t="shared" si="6"/>
        <v>0</v>
      </c>
      <c r="J13" s="81"/>
      <c r="K13" s="81"/>
      <c r="L13" s="84"/>
      <c r="M13" s="84"/>
      <c r="N13" s="84"/>
      <c r="O13" s="84"/>
      <c r="P13" s="83">
        <f t="shared" si="1"/>
        <v>0</v>
      </c>
      <c r="Q13" s="84">
        <f t="shared" si="2"/>
        <v>0</v>
      </c>
      <c r="R13" s="83">
        <f t="shared" si="3"/>
        <v>0</v>
      </c>
      <c r="S13" s="83"/>
      <c r="T13" s="83">
        <f t="shared" si="4"/>
        <v>0</v>
      </c>
      <c r="U13" s="180"/>
      <c r="V13" s="85"/>
      <c r="W13" s="171">
        <f t="shared" si="5"/>
        <v>0</v>
      </c>
      <c r="X13" s="174"/>
    </row>
    <row r="14" spans="1:24" ht="15.75">
      <c r="A14" s="184" t="s">
        <v>74</v>
      </c>
      <c r="B14" s="184"/>
      <c r="C14" s="129">
        <v>10.3</v>
      </c>
      <c r="D14" s="131">
        <v>14</v>
      </c>
      <c r="E14" s="82"/>
      <c r="F14" s="82"/>
      <c r="G14" s="82"/>
      <c r="H14" s="82"/>
      <c r="I14" s="83">
        <f t="shared" si="6"/>
        <v>0</v>
      </c>
      <c r="J14" s="81"/>
      <c r="K14" s="81"/>
      <c r="L14" s="84"/>
      <c r="M14" s="84"/>
      <c r="N14" s="84"/>
      <c r="O14" s="84"/>
      <c r="P14" s="83">
        <f t="shared" si="1"/>
        <v>0</v>
      </c>
      <c r="Q14" s="84">
        <f t="shared" si="2"/>
        <v>0</v>
      </c>
      <c r="R14" s="83">
        <f t="shared" si="3"/>
        <v>0</v>
      </c>
      <c r="S14" s="83"/>
      <c r="T14" s="83">
        <f t="shared" si="4"/>
        <v>0</v>
      </c>
      <c r="U14" s="180"/>
      <c r="V14" s="85"/>
      <c r="W14" s="171">
        <f t="shared" si="5"/>
        <v>0</v>
      </c>
      <c r="X14" s="174"/>
    </row>
    <row r="15" spans="1:24" ht="15.75">
      <c r="A15" s="184" t="s">
        <v>167</v>
      </c>
      <c r="B15" s="184"/>
      <c r="C15" s="129">
        <v>10.3</v>
      </c>
      <c r="D15" s="131">
        <v>14</v>
      </c>
      <c r="E15" s="82"/>
      <c r="F15" s="82"/>
      <c r="G15" s="82"/>
      <c r="H15" s="82"/>
      <c r="I15" s="83">
        <f t="shared" si="6"/>
        <v>0</v>
      </c>
      <c r="J15" s="81"/>
      <c r="K15" s="81"/>
      <c r="L15" s="84"/>
      <c r="M15" s="84"/>
      <c r="N15" s="84"/>
      <c r="O15" s="84"/>
      <c r="P15" s="83">
        <f t="shared" si="1"/>
        <v>0</v>
      </c>
      <c r="Q15" s="84">
        <f t="shared" si="2"/>
        <v>0</v>
      </c>
      <c r="R15" s="83">
        <f t="shared" si="3"/>
        <v>0</v>
      </c>
      <c r="S15" s="83">
        <v>1</v>
      </c>
      <c r="T15" s="83">
        <f t="shared" si="4"/>
        <v>0</v>
      </c>
      <c r="U15" s="180"/>
      <c r="V15" s="85"/>
      <c r="W15" s="171">
        <f t="shared" si="5"/>
        <v>0</v>
      </c>
      <c r="X15" s="174"/>
    </row>
    <row r="16" spans="1:24" ht="15.75">
      <c r="A16" s="184" t="s">
        <v>229</v>
      </c>
      <c r="B16" s="184"/>
      <c r="C16" s="129">
        <v>0</v>
      </c>
      <c r="D16" s="131">
        <v>16</v>
      </c>
      <c r="E16" s="82"/>
      <c r="F16" s="82"/>
      <c r="G16" s="82"/>
      <c r="H16" s="82"/>
      <c r="I16" s="83">
        <f t="shared" si="6"/>
        <v>0</v>
      </c>
      <c r="J16" s="81"/>
      <c r="K16" s="81"/>
      <c r="L16" s="84"/>
      <c r="M16" s="84"/>
      <c r="N16" s="84"/>
      <c r="O16" s="84"/>
      <c r="P16" s="83">
        <f t="shared" si="1"/>
        <v>0</v>
      </c>
      <c r="Q16" s="84">
        <f t="shared" si="2"/>
        <v>0</v>
      </c>
      <c r="R16" s="83">
        <f t="shared" si="3"/>
        <v>0</v>
      </c>
      <c r="S16" s="83"/>
      <c r="T16" s="83">
        <f t="shared" si="4"/>
        <v>0</v>
      </c>
      <c r="U16" s="180"/>
      <c r="V16" s="85"/>
      <c r="W16" s="171">
        <f>SUM(C16*U16)+(Tabelle4[[#This Row],[Abschreibung / MHD Überschritten]]*Tabelle4[[#This Row],[Preis2026 EK]])</f>
        <v>0</v>
      </c>
      <c r="X16" s="174"/>
    </row>
    <row r="17" spans="1:24" ht="15.75">
      <c r="A17" s="184" t="s">
        <v>126</v>
      </c>
      <c r="B17" s="184"/>
      <c r="C17" s="129">
        <v>0</v>
      </c>
      <c r="D17" s="131">
        <v>45</v>
      </c>
      <c r="E17" s="82"/>
      <c r="F17" s="82"/>
      <c r="G17" s="82"/>
      <c r="H17" s="82"/>
      <c r="I17" s="83">
        <f>E17+F17+G17+H17</f>
        <v>0</v>
      </c>
      <c r="J17" s="81"/>
      <c r="K17" s="81"/>
      <c r="L17" s="84"/>
      <c r="M17" s="84"/>
      <c r="N17" s="84"/>
      <c r="O17" s="84"/>
      <c r="P17" s="83">
        <f t="shared" si="1"/>
        <v>0</v>
      </c>
      <c r="Q17" s="84">
        <f t="shared" si="2"/>
        <v>0</v>
      </c>
      <c r="R17" s="83">
        <f t="shared" si="3"/>
        <v>0</v>
      </c>
      <c r="S17" s="83"/>
      <c r="T17" s="83">
        <f t="shared" si="4"/>
        <v>0</v>
      </c>
      <c r="U17" s="180"/>
      <c r="V17" s="85"/>
      <c r="W17" s="171">
        <f t="shared" si="5"/>
        <v>0</v>
      </c>
      <c r="X17" s="174"/>
    </row>
    <row r="18" spans="1:24" ht="15.75">
      <c r="A18" s="184" t="s">
        <v>44</v>
      </c>
      <c r="B18" s="184"/>
      <c r="C18" s="129">
        <v>18.53</v>
      </c>
      <c r="D18" s="131">
        <v>24</v>
      </c>
      <c r="E18" s="82"/>
      <c r="F18" s="82"/>
      <c r="G18" s="82"/>
      <c r="H18" s="82"/>
      <c r="I18" s="83">
        <f>E18+F18+G18+H18</f>
        <v>0</v>
      </c>
      <c r="J18" s="81"/>
      <c r="K18" s="81"/>
      <c r="L18" s="84"/>
      <c r="M18" s="84"/>
      <c r="N18" s="84"/>
      <c r="O18" s="84"/>
      <c r="P18" s="83">
        <f t="shared" si="1"/>
        <v>0</v>
      </c>
      <c r="Q18" s="84">
        <f t="shared" si="2"/>
        <v>0</v>
      </c>
      <c r="R18" s="83">
        <f t="shared" si="3"/>
        <v>0</v>
      </c>
      <c r="S18" s="83"/>
      <c r="T18" s="83">
        <f t="shared" si="4"/>
        <v>0</v>
      </c>
      <c r="U18" s="180"/>
      <c r="V18" s="85"/>
      <c r="W18" s="171">
        <f t="shared" si="5"/>
        <v>0</v>
      </c>
      <c r="X18" s="174"/>
    </row>
    <row r="19" spans="1:24" ht="15.75">
      <c r="A19" s="184" t="s">
        <v>192</v>
      </c>
      <c r="B19" s="184"/>
      <c r="C19" s="129">
        <v>18</v>
      </c>
      <c r="D19" s="131">
        <v>23</v>
      </c>
      <c r="E19" s="82"/>
      <c r="F19" s="82"/>
      <c r="G19" s="82"/>
      <c r="H19" s="82"/>
      <c r="I19" s="83">
        <f t="shared" ref="I19:I25" si="7">E19+F19+G19+H19</f>
        <v>0</v>
      </c>
      <c r="J19" s="81"/>
      <c r="K19" s="81"/>
      <c r="L19" s="84"/>
      <c r="M19" s="84"/>
      <c r="N19" s="84"/>
      <c r="O19" s="84"/>
      <c r="P19" s="83">
        <f t="shared" ref="P19:P56" si="8">I19*C19</f>
        <v>0</v>
      </c>
      <c r="Q19" s="84">
        <f t="shared" si="2"/>
        <v>0</v>
      </c>
      <c r="R19" s="83">
        <f t="shared" ref="R19:R56" si="9">I19*D19</f>
        <v>0</v>
      </c>
      <c r="S19" s="83"/>
      <c r="T19" s="83">
        <f t="shared" si="4"/>
        <v>0</v>
      </c>
      <c r="U19" s="180"/>
      <c r="V19" s="85"/>
      <c r="W19" s="171">
        <f t="shared" si="5"/>
        <v>0</v>
      </c>
      <c r="X19" s="174"/>
    </row>
    <row r="20" spans="1:24" ht="15.75">
      <c r="A20" s="184" t="s">
        <v>200</v>
      </c>
      <c r="B20" s="184"/>
      <c r="C20" s="129">
        <v>13.5</v>
      </c>
      <c r="D20" s="131">
        <v>16.5</v>
      </c>
      <c r="E20" s="82"/>
      <c r="F20" s="82"/>
      <c r="G20" s="82"/>
      <c r="H20" s="82"/>
      <c r="I20" s="83">
        <f t="shared" si="7"/>
        <v>0</v>
      </c>
      <c r="J20" s="81"/>
      <c r="K20" s="81"/>
      <c r="L20" s="84"/>
      <c r="M20" s="84"/>
      <c r="N20" s="84"/>
      <c r="O20" s="84"/>
      <c r="P20" s="83">
        <f t="shared" si="8"/>
        <v>0</v>
      </c>
      <c r="Q20" s="84">
        <f t="shared" ref="Q20:Q45" si="10">O20*C20</f>
        <v>0</v>
      </c>
      <c r="R20" s="83">
        <f t="shared" si="9"/>
        <v>0</v>
      </c>
      <c r="S20" s="83"/>
      <c r="T20" s="83">
        <f t="shared" ref="T20:T44" si="11">R20-P20</f>
        <v>0</v>
      </c>
      <c r="U20" s="180"/>
      <c r="V20" s="85"/>
      <c r="W20" s="171">
        <f t="shared" ref="W20:W44" si="12">SUM(C20*U20)</f>
        <v>0</v>
      </c>
      <c r="X20" s="174"/>
    </row>
    <row r="21" spans="1:24" ht="15.75">
      <c r="A21" s="196" t="s">
        <v>58</v>
      </c>
      <c r="B21" s="86"/>
      <c r="C21" s="129">
        <v>17.28</v>
      </c>
      <c r="D21" s="131">
        <v>22</v>
      </c>
      <c r="E21" s="82"/>
      <c r="F21" s="82"/>
      <c r="G21" s="82"/>
      <c r="H21" s="82"/>
      <c r="I21" s="83">
        <f t="shared" si="7"/>
        <v>0</v>
      </c>
      <c r="J21" s="81"/>
      <c r="K21" s="81"/>
      <c r="L21" s="84"/>
      <c r="M21" s="84"/>
      <c r="N21" s="84"/>
      <c r="O21" s="84"/>
      <c r="P21" s="83">
        <f t="shared" si="8"/>
        <v>0</v>
      </c>
      <c r="Q21" s="84">
        <f t="shared" si="10"/>
        <v>0</v>
      </c>
      <c r="R21" s="83">
        <f t="shared" si="9"/>
        <v>0</v>
      </c>
      <c r="S21" s="83"/>
      <c r="T21" s="83">
        <f t="shared" si="11"/>
        <v>0</v>
      </c>
      <c r="U21" s="180"/>
      <c r="V21" s="85"/>
      <c r="W21" s="171">
        <f t="shared" si="12"/>
        <v>0</v>
      </c>
      <c r="X21" s="174"/>
    </row>
    <row r="22" spans="1:24" ht="15.75">
      <c r="A22" s="184" t="s">
        <v>128</v>
      </c>
      <c r="B22" s="184"/>
      <c r="C22" s="129">
        <v>21.78</v>
      </c>
      <c r="D22" s="131">
        <v>26</v>
      </c>
      <c r="E22" s="82"/>
      <c r="F22" s="82"/>
      <c r="G22" s="82"/>
      <c r="H22" s="82"/>
      <c r="I22" s="83">
        <f t="shared" si="7"/>
        <v>0</v>
      </c>
      <c r="J22" s="81"/>
      <c r="K22" s="81"/>
      <c r="L22" s="84"/>
      <c r="M22" s="84"/>
      <c r="N22" s="84"/>
      <c r="O22" s="84"/>
      <c r="P22" s="83">
        <f t="shared" si="8"/>
        <v>0</v>
      </c>
      <c r="Q22" s="84">
        <f t="shared" si="10"/>
        <v>0</v>
      </c>
      <c r="R22" s="83">
        <f t="shared" si="9"/>
        <v>0</v>
      </c>
      <c r="S22" s="83"/>
      <c r="T22" s="83">
        <f t="shared" si="11"/>
        <v>0</v>
      </c>
      <c r="U22" s="180"/>
      <c r="V22" s="85"/>
      <c r="W22" s="171">
        <f t="shared" si="12"/>
        <v>0</v>
      </c>
      <c r="X22" s="174"/>
    </row>
    <row r="23" spans="1:24" ht="15.75">
      <c r="A23" s="184" t="s">
        <v>116</v>
      </c>
      <c r="B23" s="184"/>
      <c r="C23" s="129">
        <v>26.22</v>
      </c>
      <c r="D23" s="131">
        <v>32</v>
      </c>
      <c r="E23" s="82"/>
      <c r="F23" s="82"/>
      <c r="G23" s="82"/>
      <c r="H23" s="82"/>
      <c r="I23" s="83">
        <f t="shared" si="7"/>
        <v>0</v>
      </c>
      <c r="J23" s="81"/>
      <c r="K23" s="81"/>
      <c r="L23" s="84"/>
      <c r="M23" s="84"/>
      <c r="N23" s="84"/>
      <c r="O23" s="84"/>
      <c r="P23" s="83">
        <f t="shared" si="8"/>
        <v>0</v>
      </c>
      <c r="Q23" s="84">
        <f t="shared" si="10"/>
        <v>0</v>
      </c>
      <c r="R23" s="83">
        <f t="shared" si="9"/>
        <v>0</v>
      </c>
      <c r="S23" s="83"/>
      <c r="T23" s="83">
        <f t="shared" si="11"/>
        <v>0</v>
      </c>
      <c r="U23" s="180">
        <v>1</v>
      </c>
      <c r="V23" s="85"/>
      <c r="W23" s="171">
        <f t="shared" si="12"/>
        <v>26.22</v>
      </c>
      <c r="X23" s="174"/>
    </row>
    <row r="24" spans="1:24" ht="15.75">
      <c r="A24" s="184" t="s">
        <v>201</v>
      </c>
      <c r="B24" s="184"/>
      <c r="C24" s="129">
        <v>20</v>
      </c>
      <c r="D24" s="131">
        <v>27</v>
      </c>
      <c r="E24" s="82"/>
      <c r="F24" s="82"/>
      <c r="G24" s="82"/>
      <c r="H24" s="82"/>
      <c r="I24" s="83">
        <f t="shared" si="7"/>
        <v>0</v>
      </c>
      <c r="J24" s="81"/>
      <c r="K24" s="81"/>
      <c r="L24" s="84"/>
      <c r="M24" s="84"/>
      <c r="N24" s="84"/>
      <c r="O24" s="84"/>
      <c r="P24" s="83">
        <f t="shared" si="8"/>
        <v>0</v>
      </c>
      <c r="Q24" s="84">
        <f t="shared" si="10"/>
        <v>0</v>
      </c>
      <c r="R24" s="83">
        <f t="shared" si="9"/>
        <v>0</v>
      </c>
      <c r="S24" s="83"/>
      <c r="T24" s="83">
        <v>1</v>
      </c>
      <c r="U24" s="180"/>
      <c r="V24" s="85"/>
      <c r="W24" s="171">
        <f t="shared" si="12"/>
        <v>0</v>
      </c>
      <c r="X24" s="174"/>
    </row>
    <row r="25" spans="1:24" ht="15.75">
      <c r="A25" s="184" t="s">
        <v>185</v>
      </c>
      <c r="B25" s="184"/>
      <c r="C25" s="129">
        <v>10</v>
      </c>
      <c r="D25" s="131">
        <v>15</v>
      </c>
      <c r="E25" s="82"/>
      <c r="F25" s="82"/>
      <c r="G25" s="82"/>
      <c r="H25" s="82"/>
      <c r="I25" s="83">
        <f t="shared" si="7"/>
        <v>0</v>
      </c>
      <c r="J25" s="81"/>
      <c r="K25" s="81"/>
      <c r="L25" s="84"/>
      <c r="M25" s="84"/>
      <c r="N25" s="84"/>
      <c r="O25" s="84"/>
      <c r="P25" s="83">
        <f t="shared" si="8"/>
        <v>0</v>
      </c>
      <c r="Q25" s="84">
        <f t="shared" si="10"/>
        <v>0</v>
      </c>
      <c r="R25" s="83">
        <f t="shared" si="9"/>
        <v>0</v>
      </c>
      <c r="S25" s="83"/>
      <c r="T25" s="83">
        <f t="shared" si="11"/>
        <v>0</v>
      </c>
      <c r="U25" s="180"/>
      <c r="V25" s="85"/>
      <c r="W25" s="171">
        <f t="shared" si="12"/>
        <v>0</v>
      </c>
      <c r="X25" s="174"/>
    </row>
    <row r="26" spans="1:24" ht="15.75">
      <c r="A26" s="184" t="s">
        <v>272</v>
      </c>
      <c r="B26" s="187"/>
      <c r="C26" s="129">
        <v>14.5</v>
      </c>
      <c r="D26" s="131">
        <v>19</v>
      </c>
      <c r="E26" s="82"/>
      <c r="F26" s="82"/>
      <c r="G26" s="82"/>
      <c r="H26" s="82"/>
      <c r="I26" s="83">
        <f>E26+F26+G26+H26</f>
        <v>0</v>
      </c>
      <c r="J26" s="81"/>
      <c r="K26" s="81"/>
      <c r="L26" s="84"/>
      <c r="M26" s="84"/>
      <c r="N26" s="84"/>
      <c r="O26" s="84"/>
      <c r="P26" s="83">
        <f>I26*C26</f>
        <v>0</v>
      </c>
      <c r="Q26" s="84">
        <f>O26*C26</f>
        <v>0</v>
      </c>
      <c r="R26" s="83">
        <f>I26*D26</f>
        <v>0</v>
      </c>
      <c r="S26" s="83"/>
      <c r="T26" s="83">
        <f>R26-P26</f>
        <v>0</v>
      </c>
      <c r="U26" s="180"/>
      <c r="V26" s="85"/>
      <c r="W26" s="171">
        <f>SUM(C26*U26)</f>
        <v>0</v>
      </c>
      <c r="X26" s="174"/>
    </row>
    <row r="27" spans="1:24" ht="15.75">
      <c r="A27" s="184" t="s">
        <v>56</v>
      </c>
      <c r="B27" s="184"/>
      <c r="C27" s="129">
        <v>19.8</v>
      </c>
      <c r="D27" s="131">
        <v>25</v>
      </c>
      <c r="E27" s="82"/>
      <c r="F27" s="82"/>
      <c r="G27" s="82"/>
      <c r="H27" s="82"/>
      <c r="I27" s="83">
        <f>E27+F27+G27+H27</f>
        <v>0</v>
      </c>
      <c r="J27" s="81"/>
      <c r="K27" s="81"/>
      <c r="L27" s="84"/>
      <c r="M27" s="84"/>
      <c r="N27" s="84"/>
      <c r="O27" s="84"/>
      <c r="P27" s="83">
        <f t="shared" si="8"/>
        <v>0</v>
      </c>
      <c r="Q27" s="84">
        <f t="shared" si="10"/>
        <v>0</v>
      </c>
      <c r="R27" s="83">
        <f t="shared" si="9"/>
        <v>0</v>
      </c>
      <c r="S27" s="83"/>
      <c r="T27" s="83">
        <f t="shared" si="11"/>
        <v>0</v>
      </c>
      <c r="U27" s="180"/>
      <c r="V27" s="85"/>
      <c r="W27" s="171">
        <f t="shared" si="12"/>
        <v>0</v>
      </c>
      <c r="X27" s="174"/>
    </row>
    <row r="28" spans="1:24" ht="15.75">
      <c r="A28" s="184" t="s">
        <v>195</v>
      </c>
      <c r="B28" s="184"/>
      <c r="C28" s="129">
        <v>12.35</v>
      </c>
      <c r="D28" s="131">
        <v>25</v>
      </c>
      <c r="E28" s="82"/>
      <c r="F28" s="82"/>
      <c r="G28" s="82"/>
      <c r="H28" s="82"/>
      <c r="I28" s="83">
        <v>0</v>
      </c>
      <c r="J28" s="81"/>
      <c r="K28" s="81"/>
      <c r="L28" s="84"/>
      <c r="M28" s="84"/>
      <c r="N28" s="84"/>
      <c r="O28" s="84"/>
      <c r="P28" s="83">
        <f t="shared" si="8"/>
        <v>0</v>
      </c>
      <c r="Q28" s="84">
        <f t="shared" si="10"/>
        <v>0</v>
      </c>
      <c r="R28" s="83">
        <f t="shared" si="9"/>
        <v>0</v>
      </c>
      <c r="S28" s="83"/>
      <c r="T28" s="83">
        <f t="shared" si="11"/>
        <v>0</v>
      </c>
      <c r="U28" s="180"/>
      <c r="V28" s="85"/>
      <c r="W28" s="171">
        <f t="shared" si="12"/>
        <v>0</v>
      </c>
      <c r="X28" s="174"/>
    </row>
    <row r="29" spans="1:24" ht="15.75">
      <c r="A29" s="184" t="s">
        <v>114</v>
      </c>
      <c r="B29" s="184"/>
      <c r="C29" s="129">
        <v>17</v>
      </c>
      <c r="D29" s="131">
        <v>23</v>
      </c>
      <c r="E29" s="82"/>
      <c r="F29" s="82"/>
      <c r="G29" s="82"/>
      <c r="H29" s="82"/>
      <c r="I29" s="83">
        <f t="shared" ref="I29:I35" si="13">E29+F29+G29+H29</f>
        <v>0</v>
      </c>
      <c r="J29" s="81"/>
      <c r="K29" s="81"/>
      <c r="L29" s="84"/>
      <c r="M29" s="84"/>
      <c r="N29" s="84"/>
      <c r="O29" s="84"/>
      <c r="P29" s="83">
        <f t="shared" si="8"/>
        <v>0</v>
      </c>
      <c r="Q29" s="84">
        <f t="shared" si="10"/>
        <v>0</v>
      </c>
      <c r="R29" s="83">
        <f t="shared" si="9"/>
        <v>0</v>
      </c>
      <c r="S29" s="83"/>
      <c r="T29" s="83">
        <f t="shared" si="11"/>
        <v>0</v>
      </c>
      <c r="U29" s="180"/>
      <c r="V29" s="85"/>
      <c r="W29" s="171">
        <f t="shared" si="12"/>
        <v>0</v>
      </c>
      <c r="X29" s="174"/>
    </row>
    <row r="30" spans="1:24" ht="15.75">
      <c r="A30" s="184" t="s">
        <v>87</v>
      </c>
      <c r="B30" s="184"/>
      <c r="C30" s="129">
        <v>37</v>
      </c>
      <c r="D30" s="131">
        <v>40</v>
      </c>
      <c r="E30" s="82"/>
      <c r="F30" s="82"/>
      <c r="G30" s="82"/>
      <c r="H30" s="82"/>
      <c r="I30" s="83">
        <f t="shared" si="13"/>
        <v>0</v>
      </c>
      <c r="J30" s="81"/>
      <c r="K30" s="81"/>
      <c r="L30" s="84"/>
      <c r="M30" s="84"/>
      <c r="N30" s="84"/>
      <c r="O30" s="84"/>
      <c r="P30" s="83">
        <f t="shared" si="8"/>
        <v>0</v>
      </c>
      <c r="Q30" s="84">
        <f t="shared" si="10"/>
        <v>0</v>
      </c>
      <c r="R30" s="83">
        <f t="shared" si="9"/>
        <v>0</v>
      </c>
      <c r="S30" s="83"/>
      <c r="T30" s="83">
        <f t="shared" si="11"/>
        <v>0</v>
      </c>
      <c r="U30" s="180"/>
      <c r="V30" s="85"/>
      <c r="W30" s="171">
        <f t="shared" si="12"/>
        <v>0</v>
      </c>
      <c r="X30" s="174"/>
    </row>
    <row r="31" spans="1:24" ht="15.75">
      <c r="A31" s="184" t="s">
        <v>63</v>
      </c>
      <c r="B31" s="184"/>
      <c r="C31" s="129">
        <v>16.100000000000001</v>
      </c>
      <c r="D31" s="131">
        <v>22</v>
      </c>
      <c r="E31" s="82"/>
      <c r="F31" s="82"/>
      <c r="G31" s="82"/>
      <c r="H31" s="82"/>
      <c r="I31" s="83">
        <f t="shared" si="13"/>
        <v>0</v>
      </c>
      <c r="J31" s="81"/>
      <c r="K31" s="81"/>
      <c r="L31" s="84"/>
      <c r="M31" s="84"/>
      <c r="N31" s="84"/>
      <c r="O31" s="84"/>
      <c r="P31" s="83">
        <f t="shared" si="8"/>
        <v>0</v>
      </c>
      <c r="Q31" s="84">
        <f t="shared" si="10"/>
        <v>0</v>
      </c>
      <c r="R31" s="83">
        <f t="shared" si="9"/>
        <v>0</v>
      </c>
      <c r="S31" s="83"/>
      <c r="T31" s="83">
        <f t="shared" si="11"/>
        <v>0</v>
      </c>
      <c r="U31" s="180">
        <v>1</v>
      </c>
      <c r="V31" s="85"/>
      <c r="W31" s="171">
        <f t="shared" si="12"/>
        <v>16.100000000000001</v>
      </c>
      <c r="X31" s="174"/>
    </row>
    <row r="32" spans="1:24" ht="15.75">
      <c r="A32" s="184" t="s">
        <v>212</v>
      </c>
      <c r="B32" s="184"/>
      <c r="C32" s="129">
        <v>17.39</v>
      </c>
      <c r="D32" s="131">
        <v>26</v>
      </c>
      <c r="E32" s="82"/>
      <c r="F32" s="82"/>
      <c r="G32" s="82"/>
      <c r="H32" s="82"/>
      <c r="I32" s="83">
        <f t="shared" si="13"/>
        <v>0</v>
      </c>
      <c r="J32" s="81"/>
      <c r="K32" s="81"/>
      <c r="L32" s="84"/>
      <c r="M32" s="84"/>
      <c r="N32" s="84"/>
      <c r="O32" s="84"/>
      <c r="P32" s="83">
        <f t="shared" si="8"/>
        <v>0</v>
      </c>
      <c r="Q32" s="84">
        <f t="shared" si="10"/>
        <v>0</v>
      </c>
      <c r="R32" s="83">
        <f t="shared" si="9"/>
        <v>0</v>
      </c>
      <c r="S32" s="83"/>
      <c r="T32" s="83">
        <f t="shared" si="11"/>
        <v>0</v>
      </c>
      <c r="U32" s="180"/>
      <c r="V32" s="85"/>
      <c r="W32" s="171">
        <f t="shared" si="12"/>
        <v>0</v>
      </c>
      <c r="X32" s="174"/>
    </row>
    <row r="33" spans="1:24" ht="15.75">
      <c r="A33" s="184" t="s">
        <v>224</v>
      </c>
      <c r="B33" s="184"/>
      <c r="C33" s="129">
        <v>12.5</v>
      </c>
      <c r="D33" s="131">
        <v>19</v>
      </c>
      <c r="E33" s="82"/>
      <c r="F33" s="82"/>
      <c r="G33" s="82"/>
      <c r="H33" s="82"/>
      <c r="I33" s="83">
        <f t="shared" si="13"/>
        <v>0</v>
      </c>
      <c r="J33" s="81"/>
      <c r="K33" s="81"/>
      <c r="L33" s="84"/>
      <c r="M33" s="84"/>
      <c r="N33" s="84"/>
      <c r="O33" s="84"/>
      <c r="P33" s="83">
        <f t="shared" si="8"/>
        <v>0</v>
      </c>
      <c r="Q33" s="84">
        <f t="shared" si="10"/>
        <v>0</v>
      </c>
      <c r="R33" s="83">
        <f t="shared" si="9"/>
        <v>0</v>
      </c>
      <c r="S33" s="83"/>
      <c r="T33" s="83">
        <f t="shared" si="11"/>
        <v>0</v>
      </c>
      <c r="U33" s="180">
        <v>1</v>
      </c>
      <c r="V33" s="85"/>
      <c r="W33" s="171">
        <f t="shared" si="12"/>
        <v>12.5</v>
      </c>
      <c r="X33" s="174"/>
    </row>
    <row r="34" spans="1:24" ht="15.75">
      <c r="A34" s="184" t="s">
        <v>184</v>
      </c>
      <c r="B34" s="184"/>
      <c r="C34" s="129">
        <v>18</v>
      </c>
      <c r="D34" s="131">
        <v>25</v>
      </c>
      <c r="E34" s="82"/>
      <c r="F34" s="82"/>
      <c r="G34" s="82"/>
      <c r="H34" s="82"/>
      <c r="I34" s="83">
        <f t="shared" si="13"/>
        <v>0</v>
      </c>
      <c r="J34" s="81"/>
      <c r="K34" s="81"/>
      <c r="L34" s="84"/>
      <c r="M34" s="84"/>
      <c r="N34" s="84"/>
      <c r="O34" s="84"/>
      <c r="P34" s="83">
        <f t="shared" si="8"/>
        <v>0</v>
      </c>
      <c r="Q34" s="84">
        <f t="shared" si="10"/>
        <v>0</v>
      </c>
      <c r="R34" s="83">
        <f t="shared" si="9"/>
        <v>0</v>
      </c>
      <c r="S34" s="83"/>
      <c r="T34" s="83">
        <f t="shared" si="11"/>
        <v>0</v>
      </c>
      <c r="U34" s="180"/>
      <c r="V34" s="85"/>
      <c r="W34" s="171">
        <f t="shared" si="12"/>
        <v>0</v>
      </c>
      <c r="X34" s="174"/>
    </row>
    <row r="35" spans="1:24" ht="15.75">
      <c r="A35" s="184" t="s">
        <v>165</v>
      </c>
      <c r="B35" s="184"/>
      <c r="C35" s="129">
        <v>15.38</v>
      </c>
      <c r="D35" s="131">
        <v>25</v>
      </c>
      <c r="E35" s="82"/>
      <c r="F35" s="82"/>
      <c r="G35" s="82"/>
      <c r="H35" s="82"/>
      <c r="I35" s="83">
        <f t="shared" si="13"/>
        <v>0</v>
      </c>
      <c r="J35" s="81"/>
      <c r="K35" s="81"/>
      <c r="L35" s="84"/>
      <c r="M35" s="84"/>
      <c r="N35" s="84"/>
      <c r="O35" s="84"/>
      <c r="P35" s="83">
        <f t="shared" si="8"/>
        <v>0</v>
      </c>
      <c r="Q35" s="84">
        <f t="shared" si="10"/>
        <v>0</v>
      </c>
      <c r="R35" s="83">
        <f t="shared" si="9"/>
        <v>0</v>
      </c>
      <c r="S35" s="83"/>
      <c r="T35" s="83">
        <f t="shared" si="11"/>
        <v>0</v>
      </c>
      <c r="U35" s="180"/>
      <c r="V35" s="85"/>
      <c r="W35" s="171">
        <f t="shared" si="12"/>
        <v>0</v>
      </c>
      <c r="X35" s="174"/>
    </row>
    <row r="36" spans="1:24" ht="15.75">
      <c r="A36" s="184" t="s">
        <v>108</v>
      </c>
      <c r="B36" s="184"/>
      <c r="C36" s="129">
        <v>12.79</v>
      </c>
      <c r="D36" s="131">
        <v>16</v>
      </c>
      <c r="E36" s="82"/>
      <c r="F36" s="82"/>
      <c r="G36" s="82"/>
      <c r="H36" s="82"/>
      <c r="I36" s="83">
        <f t="shared" ref="I36:I45" si="14">E36+F36+G36+H36</f>
        <v>0</v>
      </c>
      <c r="J36" s="81"/>
      <c r="K36" s="81"/>
      <c r="L36" s="84"/>
      <c r="M36" s="84"/>
      <c r="N36" s="84"/>
      <c r="O36" s="84"/>
      <c r="P36" s="83">
        <f t="shared" si="8"/>
        <v>0</v>
      </c>
      <c r="Q36" s="84">
        <f t="shared" si="10"/>
        <v>0</v>
      </c>
      <c r="R36" s="83">
        <f t="shared" si="9"/>
        <v>0</v>
      </c>
      <c r="S36" s="83"/>
      <c r="T36" s="83">
        <v>1</v>
      </c>
      <c r="U36" s="180"/>
      <c r="V36" s="85"/>
      <c r="W36" s="171">
        <f t="shared" si="12"/>
        <v>0</v>
      </c>
      <c r="X36" s="174"/>
    </row>
    <row r="37" spans="1:24" ht="15.75">
      <c r="A37" s="184" t="s">
        <v>84</v>
      </c>
      <c r="B37" s="184"/>
      <c r="C37" s="129">
        <v>21.75</v>
      </c>
      <c r="D37" s="131">
        <v>29</v>
      </c>
      <c r="E37" s="82"/>
      <c r="F37" s="82"/>
      <c r="G37" s="82"/>
      <c r="H37" s="82"/>
      <c r="I37" s="83">
        <f t="shared" si="14"/>
        <v>0</v>
      </c>
      <c r="J37" s="81"/>
      <c r="K37" s="81"/>
      <c r="L37" s="84"/>
      <c r="M37" s="84"/>
      <c r="N37" s="84"/>
      <c r="O37" s="84"/>
      <c r="P37" s="83">
        <f t="shared" si="8"/>
        <v>0</v>
      </c>
      <c r="Q37" s="84">
        <f t="shared" si="10"/>
        <v>0</v>
      </c>
      <c r="R37" s="83">
        <f t="shared" si="9"/>
        <v>0</v>
      </c>
      <c r="S37" s="83"/>
      <c r="T37" s="83">
        <v>1</v>
      </c>
      <c r="U37" s="180"/>
      <c r="V37" s="85"/>
      <c r="W37" s="171">
        <f t="shared" si="12"/>
        <v>0</v>
      </c>
      <c r="X37" s="174"/>
    </row>
    <row r="38" spans="1:24" ht="15.75">
      <c r="A38" s="184" t="s">
        <v>153</v>
      </c>
      <c r="B38" s="184"/>
      <c r="C38" s="129">
        <v>20</v>
      </c>
      <c r="D38" s="131">
        <v>25</v>
      </c>
      <c r="E38" s="82"/>
      <c r="F38" s="82"/>
      <c r="G38" s="82"/>
      <c r="H38" s="82"/>
      <c r="I38" s="83">
        <f t="shared" si="14"/>
        <v>0</v>
      </c>
      <c r="J38" s="81"/>
      <c r="K38" s="81"/>
      <c r="L38" s="84"/>
      <c r="M38" s="84"/>
      <c r="N38" s="84"/>
      <c r="O38" s="84"/>
      <c r="P38" s="83">
        <f t="shared" si="8"/>
        <v>0</v>
      </c>
      <c r="Q38" s="84">
        <f t="shared" si="10"/>
        <v>0</v>
      </c>
      <c r="R38" s="83">
        <f t="shared" si="9"/>
        <v>0</v>
      </c>
      <c r="S38" s="83"/>
      <c r="T38" s="83">
        <f t="shared" si="11"/>
        <v>0</v>
      </c>
      <c r="U38" s="180">
        <v>1</v>
      </c>
      <c r="V38" s="85"/>
      <c r="W38" s="171">
        <f t="shared" si="12"/>
        <v>20</v>
      </c>
      <c r="X38" s="174"/>
    </row>
    <row r="39" spans="1:24" ht="15.75">
      <c r="A39" s="184" t="s">
        <v>107</v>
      </c>
      <c r="B39" s="184"/>
      <c r="C39" s="129">
        <v>12.6</v>
      </c>
      <c r="D39" s="131">
        <v>17</v>
      </c>
      <c r="E39" s="82"/>
      <c r="F39" s="82"/>
      <c r="G39" s="82"/>
      <c r="H39" s="82"/>
      <c r="I39" s="83">
        <f t="shared" si="14"/>
        <v>0</v>
      </c>
      <c r="J39" s="81"/>
      <c r="K39" s="81"/>
      <c r="L39" s="84"/>
      <c r="M39" s="84"/>
      <c r="N39" s="84"/>
      <c r="O39" s="84"/>
      <c r="P39" s="83">
        <f t="shared" si="8"/>
        <v>0</v>
      </c>
      <c r="Q39" s="84">
        <f t="shared" si="10"/>
        <v>0</v>
      </c>
      <c r="R39" s="83">
        <f t="shared" si="9"/>
        <v>0</v>
      </c>
      <c r="S39" s="83"/>
      <c r="T39" s="83">
        <f t="shared" si="11"/>
        <v>0</v>
      </c>
      <c r="U39" s="180"/>
      <c r="V39" s="85"/>
      <c r="W39" s="171">
        <f t="shared" si="12"/>
        <v>0</v>
      </c>
      <c r="X39" s="174"/>
    </row>
    <row r="40" spans="1:24" ht="15.75">
      <c r="A40" s="184" t="s">
        <v>131</v>
      </c>
      <c r="B40" s="184"/>
      <c r="C40" s="129">
        <v>12.67</v>
      </c>
      <c r="D40" s="131">
        <v>17</v>
      </c>
      <c r="E40" s="82"/>
      <c r="F40" s="82"/>
      <c r="G40" s="82"/>
      <c r="H40" s="82"/>
      <c r="I40" s="83">
        <f t="shared" si="14"/>
        <v>0</v>
      </c>
      <c r="J40" s="81"/>
      <c r="K40" s="81"/>
      <c r="L40" s="84"/>
      <c r="M40" s="84"/>
      <c r="N40" s="84"/>
      <c r="O40" s="84"/>
      <c r="P40" s="83">
        <f t="shared" si="8"/>
        <v>0</v>
      </c>
      <c r="Q40" s="84">
        <f t="shared" si="10"/>
        <v>0</v>
      </c>
      <c r="R40" s="83">
        <f t="shared" si="9"/>
        <v>0</v>
      </c>
      <c r="S40" s="83"/>
      <c r="T40" s="83">
        <f t="shared" si="11"/>
        <v>0</v>
      </c>
      <c r="U40" s="180"/>
      <c r="V40" s="85"/>
      <c r="W40" s="171">
        <f t="shared" si="12"/>
        <v>0</v>
      </c>
      <c r="X40" s="174"/>
    </row>
    <row r="41" spans="1:24" ht="15.75" hidden="1">
      <c r="A41" s="184" t="s">
        <v>51</v>
      </c>
      <c r="B41" s="184"/>
      <c r="C41" s="129">
        <v>0</v>
      </c>
      <c r="D41" s="131">
        <v>16</v>
      </c>
      <c r="E41" s="82"/>
      <c r="F41" s="82"/>
      <c r="G41" s="82"/>
      <c r="H41" s="82"/>
      <c r="I41" s="83">
        <f t="shared" si="14"/>
        <v>0</v>
      </c>
      <c r="J41" s="81"/>
      <c r="K41" s="81"/>
      <c r="L41" s="84"/>
      <c r="M41" s="84"/>
      <c r="N41" s="84"/>
      <c r="O41" s="84"/>
      <c r="P41" s="83">
        <f t="shared" si="8"/>
        <v>0</v>
      </c>
      <c r="Q41" s="84">
        <f t="shared" si="10"/>
        <v>0</v>
      </c>
      <c r="R41" s="83">
        <f t="shared" si="9"/>
        <v>0</v>
      </c>
      <c r="S41" s="83"/>
      <c r="T41" s="83">
        <f t="shared" si="11"/>
        <v>0</v>
      </c>
      <c r="U41" s="180"/>
      <c r="V41" s="85"/>
      <c r="W41" s="171">
        <f t="shared" si="12"/>
        <v>0</v>
      </c>
      <c r="X41" s="174"/>
    </row>
    <row r="42" spans="1:24" ht="15.75" hidden="1">
      <c r="A42" s="184" t="s">
        <v>186</v>
      </c>
      <c r="B42" s="184"/>
      <c r="C42" s="129">
        <v>0</v>
      </c>
      <c r="D42" s="131">
        <v>30</v>
      </c>
      <c r="E42" s="82"/>
      <c r="F42" s="82"/>
      <c r="G42" s="82"/>
      <c r="H42" s="82"/>
      <c r="I42" s="83">
        <f t="shared" si="14"/>
        <v>0</v>
      </c>
      <c r="J42" s="81"/>
      <c r="K42" s="81"/>
      <c r="L42" s="84"/>
      <c r="M42" s="84"/>
      <c r="N42" s="84"/>
      <c r="O42" s="84"/>
      <c r="P42" s="83">
        <f t="shared" si="8"/>
        <v>0</v>
      </c>
      <c r="Q42" s="84">
        <f t="shared" si="10"/>
        <v>0</v>
      </c>
      <c r="R42" s="83">
        <f t="shared" si="9"/>
        <v>0</v>
      </c>
      <c r="S42" s="83"/>
      <c r="T42" s="83">
        <f t="shared" si="11"/>
        <v>0</v>
      </c>
      <c r="U42" s="180"/>
      <c r="V42" s="85"/>
      <c r="W42" s="171">
        <f t="shared" si="12"/>
        <v>0</v>
      </c>
      <c r="X42" s="174"/>
    </row>
    <row r="43" spans="1:24" ht="15.75">
      <c r="A43" s="184" t="s">
        <v>77</v>
      </c>
      <c r="B43" s="184"/>
      <c r="C43" s="129">
        <v>19</v>
      </c>
      <c r="D43" s="131">
        <v>26</v>
      </c>
      <c r="E43" s="82"/>
      <c r="F43" s="82"/>
      <c r="G43" s="82"/>
      <c r="H43" s="82"/>
      <c r="I43" s="83">
        <f t="shared" si="14"/>
        <v>0</v>
      </c>
      <c r="J43" s="81"/>
      <c r="K43" s="81"/>
      <c r="L43" s="84"/>
      <c r="M43" s="84"/>
      <c r="N43" s="84"/>
      <c r="O43" s="84"/>
      <c r="P43" s="83">
        <f t="shared" si="8"/>
        <v>0</v>
      </c>
      <c r="Q43" s="84">
        <f t="shared" si="10"/>
        <v>0</v>
      </c>
      <c r="R43" s="83">
        <f t="shared" si="9"/>
        <v>0</v>
      </c>
      <c r="S43" s="83"/>
      <c r="T43" s="83">
        <f t="shared" si="11"/>
        <v>0</v>
      </c>
      <c r="U43" s="180"/>
      <c r="V43" s="85"/>
      <c r="W43" s="171">
        <f t="shared" si="12"/>
        <v>0</v>
      </c>
      <c r="X43" s="174"/>
    </row>
    <row r="44" spans="1:24" ht="15.75">
      <c r="A44" s="184" t="s">
        <v>76</v>
      </c>
      <c r="B44" s="184"/>
      <c r="C44" s="129">
        <v>11.65</v>
      </c>
      <c r="D44" s="131">
        <v>16</v>
      </c>
      <c r="E44" s="82"/>
      <c r="F44" s="82"/>
      <c r="G44" s="82"/>
      <c r="H44" s="82"/>
      <c r="I44" s="83">
        <f t="shared" si="14"/>
        <v>0</v>
      </c>
      <c r="J44" s="81"/>
      <c r="K44" s="81"/>
      <c r="L44" s="84"/>
      <c r="M44" s="84"/>
      <c r="N44" s="84"/>
      <c r="O44" s="84"/>
      <c r="P44" s="83">
        <f t="shared" si="8"/>
        <v>0</v>
      </c>
      <c r="Q44" s="84">
        <f t="shared" si="10"/>
        <v>0</v>
      </c>
      <c r="R44" s="83">
        <f t="shared" si="9"/>
        <v>0</v>
      </c>
      <c r="S44" s="83"/>
      <c r="T44" s="83">
        <f t="shared" si="11"/>
        <v>0</v>
      </c>
      <c r="U44" s="180"/>
      <c r="V44" s="85"/>
      <c r="W44" s="171">
        <f t="shared" si="12"/>
        <v>0</v>
      </c>
      <c r="X44" s="174"/>
    </row>
    <row r="45" spans="1:24" ht="15.75">
      <c r="A45" s="184" t="s">
        <v>248</v>
      </c>
      <c r="B45" s="184"/>
      <c r="C45" s="129">
        <v>16</v>
      </c>
      <c r="D45" s="131">
        <v>21</v>
      </c>
      <c r="E45" s="82"/>
      <c r="F45" s="82"/>
      <c r="G45" s="82"/>
      <c r="H45" s="82"/>
      <c r="I45" s="83">
        <f t="shared" si="14"/>
        <v>0</v>
      </c>
      <c r="J45" s="81"/>
      <c r="K45" s="81"/>
      <c r="L45" s="84"/>
      <c r="M45" s="84"/>
      <c r="N45" s="84"/>
      <c r="O45" s="84"/>
      <c r="P45" s="83">
        <f t="shared" si="8"/>
        <v>0</v>
      </c>
      <c r="Q45" s="84">
        <f t="shared" si="10"/>
        <v>0</v>
      </c>
      <c r="R45" s="83">
        <f t="shared" si="9"/>
        <v>0</v>
      </c>
      <c r="S45" s="83"/>
      <c r="T45" s="83">
        <v>1</v>
      </c>
      <c r="U45" s="180"/>
      <c r="V45" s="85"/>
      <c r="W45" s="171">
        <f t="shared" ref="W45:W56" si="15">SUM(C45*U45)</f>
        <v>0</v>
      </c>
      <c r="X45" s="174"/>
    </row>
    <row r="46" spans="1:24" ht="15.75">
      <c r="A46" s="184" t="s">
        <v>156</v>
      </c>
      <c r="B46" s="184"/>
      <c r="C46" s="129">
        <v>16</v>
      </c>
      <c r="D46" s="131">
        <v>20</v>
      </c>
      <c r="E46" s="82"/>
      <c r="F46" s="82"/>
      <c r="G46" s="82"/>
      <c r="H46" s="82"/>
      <c r="I46" s="83">
        <f t="shared" ref="I46:I56" si="16">E46+F46+G46+H46</f>
        <v>0</v>
      </c>
      <c r="J46" s="81"/>
      <c r="K46" s="81"/>
      <c r="L46" s="84"/>
      <c r="M46" s="84"/>
      <c r="N46" s="84"/>
      <c r="O46" s="84"/>
      <c r="P46" s="83">
        <f t="shared" si="8"/>
        <v>0</v>
      </c>
      <c r="Q46" s="84">
        <f t="shared" ref="Q46:Q56" si="17">O46*C46</f>
        <v>0</v>
      </c>
      <c r="R46" s="83">
        <f t="shared" si="9"/>
        <v>0</v>
      </c>
      <c r="S46" s="83"/>
      <c r="T46" s="83">
        <f t="shared" ref="T46:T56" si="18">R46-P46</f>
        <v>0</v>
      </c>
      <c r="U46" s="180"/>
      <c r="V46" s="85"/>
      <c r="W46" s="171">
        <f t="shared" si="15"/>
        <v>0</v>
      </c>
      <c r="X46" s="174"/>
    </row>
    <row r="47" spans="1:24" ht="15.75">
      <c r="A47" s="197" t="s">
        <v>157</v>
      </c>
      <c r="B47" s="184"/>
      <c r="C47" s="129">
        <v>11</v>
      </c>
      <c r="D47" s="131">
        <v>16</v>
      </c>
      <c r="E47" s="82"/>
      <c r="F47" s="82"/>
      <c r="G47" s="82"/>
      <c r="H47" s="82"/>
      <c r="I47" s="83">
        <f t="shared" si="16"/>
        <v>0</v>
      </c>
      <c r="J47" s="81"/>
      <c r="K47" s="81"/>
      <c r="L47" s="84"/>
      <c r="M47" s="84"/>
      <c r="N47" s="84"/>
      <c r="O47" s="84"/>
      <c r="P47" s="83">
        <f t="shared" si="8"/>
        <v>0</v>
      </c>
      <c r="Q47" s="84">
        <f t="shared" si="17"/>
        <v>0</v>
      </c>
      <c r="R47" s="83">
        <f t="shared" si="9"/>
        <v>0</v>
      </c>
      <c r="S47" s="83"/>
      <c r="T47" s="83">
        <f t="shared" si="18"/>
        <v>0</v>
      </c>
      <c r="U47" s="180"/>
      <c r="V47" s="85"/>
      <c r="W47" s="171">
        <f t="shared" si="15"/>
        <v>0</v>
      </c>
      <c r="X47" s="174"/>
    </row>
    <row r="48" spans="1:24" ht="15.75">
      <c r="A48" s="197" t="s">
        <v>187</v>
      </c>
      <c r="B48" s="184"/>
      <c r="C48" s="129">
        <v>17.760000000000002</v>
      </c>
      <c r="D48" s="131">
        <v>24</v>
      </c>
      <c r="E48" s="82"/>
      <c r="F48" s="82"/>
      <c r="G48" s="82"/>
      <c r="H48" s="82"/>
      <c r="I48" s="83">
        <f t="shared" si="16"/>
        <v>0</v>
      </c>
      <c r="J48" s="81"/>
      <c r="K48" s="81"/>
      <c r="L48" s="84"/>
      <c r="M48" s="84"/>
      <c r="N48" s="84"/>
      <c r="O48" s="84"/>
      <c r="P48" s="83">
        <f t="shared" si="8"/>
        <v>0</v>
      </c>
      <c r="Q48" s="84">
        <f t="shared" si="17"/>
        <v>0</v>
      </c>
      <c r="R48" s="83">
        <f t="shared" si="9"/>
        <v>0</v>
      </c>
      <c r="S48" s="83"/>
      <c r="T48" s="83">
        <f t="shared" si="18"/>
        <v>0</v>
      </c>
      <c r="U48" s="180"/>
      <c r="V48" s="85"/>
      <c r="W48" s="171">
        <f t="shared" si="15"/>
        <v>0</v>
      </c>
      <c r="X48" s="174"/>
    </row>
    <row r="49" spans="1:24" ht="15.75">
      <c r="A49" s="197" t="s">
        <v>188</v>
      </c>
      <c r="B49" s="184"/>
      <c r="C49" s="129">
        <v>14</v>
      </c>
      <c r="D49" s="131">
        <v>18</v>
      </c>
      <c r="E49" s="82"/>
      <c r="F49" s="82"/>
      <c r="G49" s="82"/>
      <c r="H49" s="82"/>
      <c r="I49" s="83">
        <f t="shared" si="16"/>
        <v>0</v>
      </c>
      <c r="J49" s="81"/>
      <c r="K49" s="81"/>
      <c r="L49" s="84"/>
      <c r="M49" s="84"/>
      <c r="N49" s="84"/>
      <c r="O49" s="84"/>
      <c r="P49" s="83">
        <f t="shared" si="8"/>
        <v>0</v>
      </c>
      <c r="Q49" s="84">
        <f t="shared" si="17"/>
        <v>0</v>
      </c>
      <c r="R49" s="83">
        <f t="shared" si="9"/>
        <v>0</v>
      </c>
      <c r="S49" s="83"/>
      <c r="T49" s="83">
        <f t="shared" si="18"/>
        <v>0</v>
      </c>
      <c r="U49" s="180">
        <v>2</v>
      </c>
      <c r="V49" s="85"/>
      <c r="W49" s="171">
        <f t="shared" si="15"/>
        <v>28</v>
      </c>
      <c r="X49" s="174"/>
    </row>
    <row r="50" spans="1:24" ht="15.75">
      <c r="A50" s="197" t="s">
        <v>155</v>
      </c>
      <c r="B50" s="184"/>
      <c r="C50" s="129">
        <v>15</v>
      </c>
      <c r="D50" s="131">
        <v>20</v>
      </c>
      <c r="E50" s="82"/>
      <c r="F50" s="82"/>
      <c r="G50" s="82"/>
      <c r="H50" s="82"/>
      <c r="I50" s="83">
        <f t="shared" si="16"/>
        <v>0</v>
      </c>
      <c r="J50" s="81"/>
      <c r="K50" s="81"/>
      <c r="L50" s="84"/>
      <c r="M50" s="84"/>
      <c r="N50" s="84"/>
      <c r="O50" s="84"/>
      <c r="P50" s="83">
        <f t="shared" si="8"/>
        <v>0</v>
      </c>
      <c r="Q50" s="84">
        <f t="shared" si="17"/>
        <v>0</v>
      </c>
      <c r="R50" s="83">
        <f t="shared" si="9"/>
        <v>0</v>
      </c>
      <c r="S50" s="83"/>
      <c r="T50" s="83">
        <f t="shared" si="18"/>
        <v>0</v>
      </c>
      <c r="U50" s="180"/>
      <c r="V50" s="85"/>
      <c r="W50" s="171">
        <f t="shared" si="15"/>
        <v>0</v>
      </c>
      <c r="X50" s="174"/>
    </row>
    <row r="51" spans="1:24" ht="15.75">
      <c r="A51" s="197" t="s">
        <v>27</v>
      </c>
      <c r="B51" s="184"/>
      <c r="C51" s="129">
        <v>14.75</v>
      </c>
      <c r="D51" s="131">
        <v>19</v>
      </c>
      <c r="E51" s="82"/>
      <c r="F51" s="82"/>
      <c r="G51" s="82"/>
      <c r="H51" s="82"/>
      <c r="I51" s="83">
        <f t="shared" si="16"/>
        <v>0</v>
      </c>
      <c r="J51" s="81"/>
      <c r="K51" s="81"/>
      <c r="L51" s="84"/>
      <c r="M51" s="84"/>
      <c r="N51" s="84"/>
      <c r="O51" s="84"/>
      <c r="P51" s="83">
        <f t="shared" si="8"/>
        <v>0</v>
      </c>
      <c r="Q51" s="84">
        <f t="shared" si="17"/>
        <v>0</v>
      </c>
      <c r="R51" s="83">
        <f t="shared" si="9"/>
        <v>0</v>
      </c>
      <c r="S51" s="83"/>
      <c r="T51" s="83">
        <f t="shared" si="18"/>
        <v>0</v>
      </c>
      <c r="U51" s="180"/>
      <c r="V51" s="85"/>
      <c r="W51" s="171">
        <f t="shared" si="15"/>
        <v>0</v>
      </c>
      <c r="X51" s="174"/>
    </row>
    <row r="52" spans="1:24" ht="15.75">
      <c r="A52" s="197" t="s">
        <v>120</v>
      </c>
      <c r="B52" s="184"/>
      <c r="C52" s="129">
        <v>18</v>
      </c>
      <c r="D52" s="131">
        <v>25</v>
      </c>
      <c r="E52" s="82"/>
      <c r="F52" s="82"/>
      <c r="G52" s="82"/>
      <c r="H52" s="82"/>
      <c r="I52" s="83">
        <f t="shared" si="16"/>
        <v>0</v>
      </c>
      <c r="J52" s="81"/>
      <c r="K52" s="81"/>
      <c r="L52" s="84"/>
      <c r="M52" s="84"/>
      <c r="N52" s="84"/>
      <c r="O52" s="84"/>
      <c r="P52" s="83">
        <f t="shared" si="8"/>
        <v>0</v>
      </c>
      <c r="Q52" s="84">
        <f t="shared" si="17"/>
        <v>0</v>
      </c>
      <c r="R52" s="83">
        <f t="shared" si="9"/>
        <v>0</v>
      </c>
      <c r="S52" s="83"/>
      <c r="T52" s="83">
        <v>1</v>
      </c>
      <c r="U52" s="180"/>
      <c r="V52" s="85"/>
      <c r="W52" s="171">
        <f t="shared" si="15"/>
        <v>0</v>
      </c>
      <c r="X52" s="174"/>
    </row>
    <row r="53" spans="1:24" ht="15.75">
      <c r="A53" s="197" t="s">
        <v>28</v>
      </c>
      <c r="B53" s="184"/>
      <c r="C53" s="129">
        <v>22.68</v>
      </c>
      <c r="D53" s="131">
        <v>28</v>
      </c>
      <c r="E53" s="82"/>
      <c r="F53" s="82"/>
      <c r="G53" s="82"/>
      <c r="H53" s="82"/>
      <c r="I53" s="83">
        <f t="shared" si="16"/>
        <v>0</v>
      </c>
      <c r="J53" s="81"/>
      <c r="K53" s="81"/>
      <c r="L53" s="84"/>
      <c r="M53" s="84"/>
      <c r="N53" s="84"/>
      <c r="O53" s="84"/>
      <c r="P53" s="83">
        <f t="shared" si="8"/>
        <v>0</v>
      </c>
      <c r="Q53" s="84">
        <f t="shared" si="17"/>
        <v>0</v>
      </c>
      <c r="R53" s="83">
        <f t="shared" si="9"/>
        <v>0</v>
      </c>
      <c r="S53" s="83"/>
      <c r="T53" s="83">
        <f t="shared" si="18"/>
        <v>0</v>
      </c>
      <c r="U53" s="180"/>
      <c r="V53" s="85"/>
      <c r="W53" s="171">
        <f t="shared" si="15"/>
        <v>0</v>
      </c>
      <c r="X53" s="174"/>
    </row>
    <row r="54" spans="1:24" ht="15.75">
      <c r="A54" s="197" t="s">
        <v>223</v>
      </c>
      <c r="B54" s="184"/>
      <c r="C54" s="129">
        <v>0</v>
      </c>
      <c r="D54" s="131">
        <v>13</v>
      </c>
      <c r="E54" s="82"/>
      <c r="F54" s="82"/>
      <c r="G54" s="82"/>
      <c r="H54" s="82"/>
      <c r="I54" s="83">
        <f t="shared" si="16"/>
        <v>0</v>
      </c>
      <c r="J54" s="81"/>
      <c r="K54" s="81"/>
      <c r="L54" s="84"/>
      <c r="M54" s="84"/>
      <c r="N54" s="84"/>
      <c r="O54" s="84"/>
      <c r="P54" s="83">
        <f t="shared" si="8"/>
        <v>0</v>
      </c>
      <c r="Q54" s="84">
        <f t="shared" si="17"/>
        <v>0</v>
      </c>
      <c r="R54" s="83">
        <f t="shared" si="9"/>
        <v>0</v>
      </c>
      <c r="S54" s="83"/>
      <c r="T54" s="83">
        <f t="shared" si="18"/>
        <v>0</v>
      </c>
      <c r="U54" s="180"/>
      <c r="V54" s="85"/>
      <c r="W54" s="171">
        <f t="shared" si="15"/>
        <v>0</v>
      </c>
      <c r="X54" s="174"/>
    </row>
    <row r="55" spans="1:24" ht="15.75">
      <c r="A55" s="197" t="s">
        <v>110</v>
      </c>
      <c r="B55" s="184"/>
      <c r="C55" s="129">
        <v>11.7</v>
      </c>
      <c r="D55" s="131">
        <v>16</v>
      </c>
      <c r="E55" s="82"/>
      <c r="F55" s="82"/>
      <c r="G55" s="82"/>
      <c r="H55" s="82"/>
      <c r="I55" s="83">
        <f t="shared" si="16"/>
        <v>0</v>
      </c>
      <c r="J55" s="81"/>
      <c r="K55" s="81"/>
      <c r="L55" s="84"/>
      <c r="M55" s="84"/>
      <c r="N55" s="84"/>
      <c r="O55" s="84"/>
      <c r="P55" s="83">
        <f t="shared" si="8"/>
        <v>0</v>
      </c>
      <c r="Q55" s="84">
        <f t="shared" si="17"/>
        <v>0</v>
      </c>
      <c r="R55" s="83">
        <f t="shared" si="9"/>
        <v>0</v>
      </c>
      <c r="S55" s="83"/>
      <c r="T55" s="83">
        <f t="shared" si="18"/>
        <v>0</v>
      </c>
      <c r="U55" s="180">
        <v>1</v>
      </c>
      <c r="V55" s="85"/>
      <c r="W55" s="171">
        <f t="shared" si="15"/>
        <v>11.7</v>
      </c>
      <c r="X55" s="174"/>
    </row>
    <row r="56" spans="1:24" ht="15.75">
      <c r="A56" s="198" t="s">
        <v>249</v>
      </c>
      <c r="B56" s="184"/>
      <c r="C56" s="129">
        <v>0</v>
      </c>
      <c r="D56" s="131">
        <v>19</v>
      </c>
      <c r="E56" s="82"/>
      <c r="F56" s="82"/>
      <c r="G56" s="82"/>
      <c r="H56" s="82"/>
      <c r="I56" s="83">
        <f t="shared" si="16"/>
        <v>0</v>
      </c>
      <c r="J56" s="81"/>
      <c r="K56" s="81"/>
      <c r="L56" s="84"/>
      <c r="M56" s="84"/>
      <c r="N56" s="84"/>
      <c r="O56" s="84"/>
      <c r="P56" s="83">
        <f t="shared" si="8"/>
        <v>0</v>
      </c>
      <c r="Q56" s="84">
        <f t="shared" si="17"/>
        <v>0</v>
      </c>
      <c r="R56" s="83">
        <f t="shared" si="9"/>
        <v>0</v>
      </c>
      <c r="S56" s="83"/>
      <c r="T56" s="83">
        <f t="shared" si="18"/>
        <v>0</v>
      </c>
      <c r="U56" s="180"/>
      <c r="V56" s="85"/>
      <c r="W56" s="171">
        <f t="shared" si="15"/>
        <v>0</v>
      </c>
      <c r="X56" s="174"/>
    </row>
    <row r="57" spans="1:24">
      <c r="A57" s="188"/>
      <c r="B57" s="188"/>
      <c r="C57" s="188"/>
      <c r="D57" s="188"/>
      <c r="E57" s="188"/>
      <c r="F57" s="188"/>
      <c r="G57" s="188"/>
      <c r="H57" s="188"/>
      <c r="I57" s="188"/>
      <c r="J57" s="188"/>
      <c r="K57" s="188"/>
      <c r="L57" s="188"/>
      <c r="M57" s="188"/>
      <c r="N57" s="188"/>
      <c r="O57" s="188"/>
      <c r="P57" s="188"/>
      <c r="Q57" s="188"/>
      <c r="R57" s="188"/>
      <c r="S57" s="188"/>
      <c r="T57" s="188"/>
      <c r="U57" s="189"/>
      <c r="V57" s="188"/>
      <c r="W57" s="188"/>
      <c r="X57" s="175"/>
    </row>
    <row r="58" spans="1:24">
      <c r="A58" s="199" t="s">
        <v>275</v>
      </c>
      <c r="B58" s="190"/>
      <c r="C58" s="134">
        <v>24.67</v>
      </c>
      <c r="D58" s="133">
        <v>37.950000000000003</v>
      </c>
      <c r="E58" s="132"/>
      <c r="F58" s="132"/>
      <c r="G58" s="132"/>
      <c r="H58" s="132"/>
      <c r="I58" s="132">
        <f>E58+F58+G58+H58</f>
        <v>0</v>
      </c>
      <c r="J58" s="132"/>
      <c r="K58" s="132"/>
      <c r="L58" s="132"/>
      <c r="M58" s="132"/>
      <c r="N58" s="132"/>
      <c r="O58" s="132"/>
      <c r="P58" s="132">
        <f>I58*C58</f>
        <v>0</v>
      </c>
      <c r="Q58" s="132"/>
      <c r="R58" s="166">
        <f>I58*D58</f>
        <v>0</v>
      </c>
      <c r="S58" s="132"/>
      <c r="T58" s="166">
        <f>R58-P58</f>
        <v>0</v>
      </c>
      <c r="U58" s="181"/>
      <c r="V58" s="132"/>
      <c r="W58" s="172">
        <f>SUM(C58*U58)</f>
        <v>0</v>
      </c>
      <c r="X58" s="175"/>
    </row>
    <row r="59" spans="1:24">
      <c r="A59" s="54" t="s">
        <v>276</v>
      </c>
      <c r="B59" s="191"/>
      <c r="C59" s="167">
        <v>29.22</v>
      </c>
      <c r="D59" s="128">
        <v>44.95</v>
      </c>
      <c r="I59" s="54">
        <f t="shared" ref="I59:I80" si="19">E59+F59+G59+H59</f>
        <v>0</v>
      </c>
      <c r="P59" s="54">
        <f t="shared" ref="P59:P80" si="20">I59*C59</f>
        <v>0</v>
      </c>
      <c r="R59" s="183">
        <f t="shared" ref="R59:R80" si="21">I59*D59</f>
        <v>0</v>
      </c>
      <c r="T59" s="183">
        <f t="shared" ref="T59:T80" si="22">R59-P59</f>
        <v>0</v>
      </c>
      <c r="U59" s="182"/>
      <c r="W59" s="171">
        <f t="shared" ref="W59:W80" si="23">SUM(C59*U59)</f>
        <v>0</v>
      </c>
      <c r="X59" s="175"/>
    </row>
    <row r="60" spans="1:24">
      <c r="A60" s="132" t="s">
        <v>286</v>
      </c>
      <c r="B60" s="192"/>
      <c r="C60" s="134">
        <v>24.67</v>
      </c>
      <c r="D60" s="133">
        <v>37.950000000000003</v>
      </c>
      <c r="E60" s="132"/>
      <c r="F60" s="132"/>
      <c r="G60" s="132"/>
      <c r="H60" s="132"/>
      <c r="I60" s="132">
        <f t="shared" si="19"/>
        <v>0</v>
      </c>
      <c r="J60" s="132"/>
      <c r="K60" s="132"/>
      <c r="L60" s="132"/>
      <c r="M60" s="132"/>
      <c r="N60" s="132"/>
      <c r="O60" s="132"/>
      <c r="P60" s="132">
        <f t="shared" si="20"/>
        <v>0</v>
      </c>
      <c r="Q60" s="132"/>
      <c r="R60" s="166">
        <f t="shared" si="21"/>
        <v>0</v>
      </c>
      <c r="S60" s="132"/>
      <c r="T60" s="166">
        <f t="shared" si="22"/>
        <v>0</v>
      </c>
      <c r="U60" s="181"/>
      <c r="V60" s="132"/>
      <c r="W60" s="172">
        <f t="shared" si="23"/>
        <v>0</v>
      </c>
      <c r="X60" s="175"/>
    </row>
    <row r="61" spans="1:24">
      <c r="A61" s="54" t="s">
        <v>320</v>
      </c>
      <c r="B61" s="191"/>
      <c r="C61" s="167">
        <v>24.67</v>
      </c>
      <c r="D61" s="128">
        <v>37.950000000000003</v>
      </c>
      <c r="I61" s="54">
        <f t="shared" si="19"/>
        <v>0</v>
      </c>
      <c r="P61" s="54">
        <f t="shared" si="20"/>
        <v>0</v>
      </c>
      <c r="R61" s="183">
        <f t="shared" si="21"/>
        <v>0</v>
      </c>
      <c r="T61" s="183">
        <f t="shared" si="22"/>
        <v>0</v>
      </c>
      <c r="U61" s="182"/>
      <c r="W61" s="171">
        <f t="shared" si="23"/>
        <v>0</v>
      </c>
      <c r="X61" s="175"/>
    </row>
    <row r="62" spans="1:24">
      <c r="A62" s="132" t="s">
        <v>282</v>
      </c>
      <c r="B62" s="192"/>
      <c r="C62" s="134">
        <v>12.97</v>
      </c>
      <c r="D62" s="133">
        <v>19.95</v>
      </c>
      <c r="E62" s="132"/>
      <c r="F62" s="132"/>
      <c r="G62" s="132"/>
      <c r="H62" s="132"/>
      <c r="I62" s="132">
        <f t="shared" si="19"/>
        <v>0</v>
      </c>
      <c r="J62" s="132"/>
      <c r="K62" s="132"/>
      <c r="L62" s="132"/>
      <c r="M62" s="132"/>
      <c r="N62" s="132"/>
      <c r="O62" s="132"/>
      <c r="P62" s="132">
        <f t="shared" si="20"/>
        <v>0</v>
      </c>
      <c r="Q62" s="132"/>
      <c r="R62" s="166">
        <f t="shared" si="21"/>
        <v>0</v>
      </c>
      <c r="S62" s="132"/>
      <c r="T62" s="166">
        <f t="shared" si="22"/>
        <v>0</v>
      </c>
      <c r="U62" s="181"/>
      <c r="V62" s="132"/>
      <c r="W62" s="172">
        <f t="shared" si="23"/>
        <v>0</v>
      </c>
      <c r="X62" s="175"/>
    </row>
    <row r="63" spans="1:24">
      <c r="A63" s="54" t="s">
        <v>283</v>
      </c>
      <c r="B63" s="191"/>
      <c r="C63" s="167">
        <v>22.72</v>
      </c>
      <c r="D63" s="128">
        <v>34.950000000000003</v>
      </c>
      <c r="I63" s="54">
        <f t="shared" si="19"/>
        <v>0</v>
      </c>
      <c r="P63" s="54">
        <f t="shared" si="20"/>
        <v>0</v>
      </c>
      <c r="R63" s="183">
        <f t="shared" si="21"/>
        <v>0</v>
      </c>
      <c r="T63" s="183">
        <f t="shared" si="22"/>
        <v>0</v>
      </c>
      <c r="U63" s="182"/>
      <c r="W63" s="171">
        <f t="shared" si="23"/>
        <v>0</v>
      </c>
      <c r="X63" s="175"/>
    </row>
    <row r="64" spans="1:24">
      <c r="A64" s="132" t="s">
        <v>284</v>
      </c>
      <c r="B64" s="192"/>
      <c r="C64" s="134">
        <v>22.72</v>
      </c>
      <c r="D64" s="133">
        <v>34.950000000000003</v>
      </c>
      <c r="E64" s="132"/>
      <c r="F64" s="132"/>
      <c r="G64" s="132"/>
      <c r="H64" s="132"/>
      <c r="I64" s="132">
        <f t="shared" si="19"/>
        <v>0</v>
      </c>
      <c r="J64" s="132"/>
      <c r="K64" s="132"/>
      <c r="L64" s="132"/>
      <c r="M64" s="132"/>
      <c r="N64" s="132"/>
      <c r="O64" s="132"/>
      <c r="P64" s="132">
        <f t="shared" si="20"/>
        <v>0</v>
      </c>
      <c r="Q64" s="132"/>
      <c r="R64" s="166">
        <f t="shared" si="21"/>
        <v>0</v>
      </c>
      <c r="S64" s="132"/>
      <c r="T64" s="166">
        <f t="shared" si="22"/>
        <v>0</v>
      </c>
      <c r="U64" s="181"/>
      <c r="V64" s="132"/>
      <c r="W64" s="172">
        <f t="shared" si="23"/>
        <v>0</v>
      </c>
      <c r="X64" s="175"/>
    </row>
    <row r="65" spans="1:24">
      <c r="A65" s="54" t="s">
        <v>289</v>
      </c>
      <c r="B65" s="191"/>
      <c r="C65" s="167">
        <v>25.97</v>
      </c>
      <c r="D65" s="128">
        <v>39.950000000000003</v>
      </c>
      <c r="I65" s="54">
        <f t="shared" si="19"/>
        <v>0</v>
      </c>
      <c r="P65" s="54">
        <f t="shared" si="20"/>
        <v>0</v>
      </c>
      <c r="R65" s="183">
        <f t="shared" si="21"/>
        <v>0</v>
      </c>
      <c r="T65" s="183">
        <f t="shared" si="22"/>
        <v>0</v>
      </c>
      <c r="U65" s="182"/>
      <c r="W65" s="171">
        <f t="shared" si="23"/>
        <v>0</v>
      </c>
      <c r="X65" s="175"/>
    </row>
    <row r="66" spans="1:24">
      <c r="A66" s="132" t="s">
        <v>285</v>
      </c>
      <c r="B66" s="192"/>
      <c r="C66" s="134">
        <v>19.47</v>
      </c>
      <c r="D66" s="133">
        <v>29.95</v>
      </c>
      <c r="E66" s="132"/>
      <c r="F66" s="132"/>
      <c r="G66" s="132"/>
      <c r="H66" s="132"/>
      <c r="I66" s="132">
        <f t="shared" si="19"/>
        <v>0</v>
      </c>
      <c r="J66" s="132"/>
      <c r="K66" s="132"/>
      <c r="L66" s="132"/>
      <c r="M66" s="132"/>
      <c r="N66" s="132"/>
      <c r="O66" s="132"/>
      <c r="P66" s="132">
        <f t="shared" si="20"/>
        <v>0</v>
      </c>
      <c r="Q66" s="132"/>
      <c r="R66" s="166">
        <f t="shared" si="21"/>
        <v>0</v>
      </c>
      <c r="S66" s="132"/>
      <c r="T66" s="166">
        <f t="shared" si="22"/>
        <v>0</v>
      </c>
      <c r="U66" s="181"/>
      <c r="V66" s="132"/>
      <c r="W66" s="172">
        <f t="shared" si="23"/>
        <v>0</v>
      </c>
      <c r="X66" s="175"/>
    </row>
    <row r="67" spans="1:24">
      <c r="A67" s="54" t="s">
        <v>290</v>
      </c>
      <c r="B67" s="191"/>
      <c r="C67" s="167">
        <v>35.72</v>
      </c>
      <c r="D67" s="128">
        <v>54.95</v>
      </c>
      <c r="I67" s="54">
        <f t="shared" si="19"/>
        <v>0</v>
      </c>
      <c r="P67" s="54">
        <f t="shared" si="20"/>
        <v>0</v>
      </c>
      <c r="R67" s="183">
        <f t="shared" si="21"/>
        <v>0</v>
      </c>
      <c r="T67" s="183">
        <f t="shared" si="22"/>
        <v>0</v>
      </c>
      <c r="U67" s="182"/>
      <c r="W67" s="171">
        <f t="shared" si="23"/>
        <v>0</v>
      </c>
      <c r="X67" s="175"/>
    </row>
    <row r="68" spans="1:24">
      <c r="A68" s="132" t="s">
        <v>293</v>
      </c>
      <c r="B68" s="192"/>
      <c r="C68" s="134">
        <v>25.97</v>
      </c>
      <c r="D68" s="133">
        <v>39.950000000000003</v>
      </c>
      <c r="E68" s="132"/>
      <c r="F68" s="132"/>
      <c r="G68" s="132"/>
      <c r="H68" s="132"/>
      <c r="I68" s="132">
        <f t="shared" si="19"/>
        <v>0</v>
      </c>
      <c r="J68" s="132"/>
      <c r="K68" s="132"/>
      <c r="L68" s="132"/>
      <c r="M68" s="132"/>
      <c r="N68" s="132"/>
      <c r="O68" s="132"/>
      <c r="P68" s="132">
        <f t="shared" si="20"/>
        <v>0</v>
      </c>
      <c r="Q68" s="132"/>
      <c r="R68" s="166">
        <f t="shared" si="21"/>
        <v>0</v>
      </c>
      <c r="S68" s="132"/>
      <c r="T68" s="166">
        <f t="shared" si="22"/>
        <v>0</v>
      </c>
      <c r="U68" s="181"/>
      <c r="V68" s="132"/>
      <c r="W68" s="172">
        <f t="shared" si="23"/>
        <v>0</v>
      </c>
      <c r="X68" s="175"/>
    </row>
    <row r="69" spans="1:24">
      <c r="A69" s="54" t="s">
        <v>304</v>
      </c>
      <c r="B69" s="191"/>
      <c r="C69" s="167">
        <v>38.97</v>
      </c>
      <c r="D69" s="128">
        <v>59.95</v>
      </c>
      <c r="I69" s="54">
        <f t="shared" si="19"/>
        <v>0</v>
      </c>
      <c r="P69" s="54">
        <f t="shared" si="20"/>
        <v>0</v>
      </c>
      <c r="R69" s="183">
        <f t="shared" si="21"/>
        <v>0</v>
      </c>
      <c r="T69" s="183">
        <f t="shared" si="22"/>
        <v>0</v>
      </c>
      <c r="U69" s="182"/>
      <c r="W69" s="171">
        <f t="shared" si="23"/>
        <v>0</v>
      </c>
      <c r="X69" s="175"/>
    </row>
    <row r="70" spans="1:24">
      <c r="A70" s="132" t="s">
        <v>307</v>
      </c>
      <c r="B70" s="192"/>
      <c r="C70" s="134">
        <v>12.97</v>
      </c>
      <c r="D70" s="133">
        <v>19.95</v>
      </c>
      <c r="E70" s="132"/>
      <c r="F70" s="132"/>
      <c r="G70" s="132"/>
      <c r="H70" s="132"/>
      <c r="I70" s="132">
        <f t="shared" si="19"/>
        <v>0</v>
      </c>
      <c r="J70" s="132"/>
      <c r="K70" s="132"/>
      <c r="L70" s="132"/>
      <c r="M70" s="132"/>
      <c r="N70" s="132"/>
      <c r="O70" s="132"/>
      <c r="P70" s="132">
        <f t="shared" si="20"/>
        <v>0</v>
      </c>
      <c r="Q70" s="132"/>
      <c r="R70" s="166">
        <f t="shared" si="21"/>
        <v>0</v>
      </c>
      <c r="S70" s="132"/>
      <c r="T70" s="166">
        <f t="shared" si="22"/>
        <v>0</v>
      </c>
      <c r="U70" s="181"/>
      <c r="V70" s="132"/>
      <c r="W70" s="172">
        <f t="shared" si="23"/>
        <v>0</v>
      </c>
      <c r="X70" s="175"/>
    </row>
    <row r="71" spans="1:24">
      <c r="A71" s="54" t="s">
        <v>308</v>
      </c>
      <c r="B71" s="191"/>
      <c r="C71" s="167">
        <v>22.72</v>
      </c>
      <c r="D71" s="128">
        <v>34.950000000000003</v>
      </c>
      <c r="I71" s="54">
        <f t="shared" si="19"/>
        <v>0</v>
      </c>
      <c r="P71" s="54">
        <f t="shared" si="20"/>
        <v>0</v>
      </c>
      <c r="R71" s="183">
        <f t="shared" si="21"/>
        <v>0</v>
      </c>
      <c r="T71" s="183">
        <f t="shared" si="22"/>
        <v>0</v>
      </c>
      <c r="U71" s="182"/>
      <c r="W71" s="171">
        <f t="shared" si="23"/>
        <v>0</v>
      </c>
      <c r="X71" s="175"/>
    </row>
    <row r="72" spans="1:24">
      <c r="A72" s="132" t="s">
        <v>311</v>
      </c>
      <c r="B72" s="192"/>
      <c r="C72" s="134">
        <v>27.92</v>
      </c>
      <c r="D72" s="133">
        <v>42.95</v>
      </c>
      <c r="E72" s="132"/>
      <c r="F72" s="132"/>
      <c r="G72" s="132"/>
      <c r="H72" s="132"/>
      <c r="I72" s="132">
        <f t="shared" si="19"/>
        <v>0</v>
      </c>
      <c r="J72" s="132"/>
      <c r="K72" s="132"/>
      <c r="L72" s="132"/>
      <c r="M72" s="132"/>
      <c r="N72" s="132"/>
      <c r="O72" s="132"/>
      <c r="P72" s="132">
        <f t="shared" si="20"/>
        <v>0</v>
      </c>
      <c r="Q72" s="132"/>
      <c r="R72" s="166">
        <f t="shared" si="21"/>
        <v>0</v>
      </c>
      <c r="S72" s="132"/>
      <c r="T72" s="166">
        <f t="shared" si="22"/>
        <v>0</v>
      </c>
      <c r="U72" s="181"/>
      <c r="V72" s="132"/>
      <c r="W72" s="172">
        <f t="shared" si="23"/>
        <v>0</v>
      </c>
      <c r="X72" s="175"/>
    </row>
    <row r="73" spans="1:24">
      <c r="A73" s="54" t="s">
        <v>313</v>
      </c>
      <c r="B73" s="191"/>
      <c r="C73" s="167">
        <v>22.27</v>
      </c>
      <c r="D73" s="128">
        <v>34.950000000000003</v>
      </c>
      <c r="I73" s="54">
        <f t="shared" si="19"/>
        <v>0</v>
      </c>
      <c r="P73" s="54">
        <f t="shared" si="20"/>
        <v>0</v>
      </c>
      <c r="R73" s="183">
        <f t="shared" si="21"/>
        <v>0</v>
      </c>
      <c r="T73" s="183">
        <f t="shared" si="22"/>
        <v>0</v>
      </c>
      <c r="U73" s="182">
        <v>2</v>
      </c>
      <c r="W73" s="171">
        <f t="shared" si="23"/>
        <v>44.54</v>
      </c>
      <c r="X73" s="175"/>
    </row>
    <row r="74" spans="1:24">
      <c r="A74" s="132" t="s">
        <v>316</v>
      </c>
      <c r="B74" s="192"/>
      <c r="C74" s="134">
        <v>27.92</v>
      </c>
      <c r="D74" s="133">
        <v>42.95</v>
      </c>
      <c r="E74" s="132"/>
      <c r="F74" s="132"/>
      <c r="G74" s="132"/>
      <c r="H74" s="132"/>
      <c r="I74" s="132">
        <f t="shared" si="19"/>
        <v>0</v>
      </c>
      <c r="J74" s="132"/>
      <c r="K74" s="132"/>
      <c r="L74" s="132"/>
      <c r="M74" s="132"/>
      <c r="N74" s="132"/>
      <c r="O74" s="132"/>
      <c r="P74" s="132">
        <f t="shared" si="20"/>
        <v>0</v>
      </c>
      <c r="Q74" s="132"/>
      <c r="R74" s="166">
        <f t="shared" si="21"/>
        <v>0</v>
      </c>
      <c r="S74" s="132"/>
      <c r="T74" s="166">
        <f t="shared" si="22"/>
        <v>0</v>
      </c>
      <c r="U74" s="181"/>
      <c r="V74" s="132"/>
      <c r="W74" s="172">
        <f t="shared" si="23"/>
        <v>0</v>
      </c>
      <c r="X74" s="175"/>
    </row>
    <row r="75" spans="1:24">
      <c r="A75" s="54" t="s">
        <v>346</v>
      </c>
      <c r="B75" s="191"/>
      <c r="C75" s="167">
        <v>22.72</v>
      </c>
      <c r="D75" s="128">
        <v>34.950000000000003</v>
      </c>
      <c r="I75" s="54">
        <f t="shared" si="19"/>
        <v>0</v>
      </c>
      <c r="P75" s="54">
        <f t="shared" si="20"/>
        <v>0</v>
      </c>
      <c r="R75" s="183">
        <f t="shared" si="21"/>
        <v>0</v>
      </c>
      <c r="T75" s="183">
        <f t="shared" si="22"/>
        <v>0</v>
      </c>
      <c r="U75" s="182"/>
      <c r="W75" s="171">
        <f t="shared" si="23"/>
        <v>0</v>
      </c>
      <c r="X75" s="175"/>
    </row>
    <row r="76" spans="1:24">
      <c r="A76" s="132" t="s">
        <v>349</v>
      </c>
      <c r="B76" s="192"/>
      <c r="C76" s="134">
        <v>29.22</v>
      </c>
      <c r="D76" s="133">
        <v>44.95</v>
      </c>
      <c r="E76" s="132"/>
      <c r="F76" s="132"/>
      <c r="G76" s="132"/>
      <c r="H76" s="132"/>
      <c r="I76" s="132">
        <f t="shared" si="19"/>
        <v>0</v>
      </c>
      <c r="J76" s="132"/>
      <c r="K76" s="132"/>
      <c r="L76" s="132"/>
      <c r="M76" s="132"/>
      <c r="N76" s="132"/>
      <c r="O76" s="132"/>
      <c r="P76" s="132">
        <f t="shared" si="20"/>
        <v>0</v>
      </c>
      <c r="Q76" s="132"/>
      <c r="R76" s="166">
        <f t="shared" si="21"/>
        <v>0</v>
      </c>
      <c r="S76" s="132"/>
      <c r="T76" s="166">
        <f t="shared" si="22"/>
        <v>0</v>
      </c>
      <c r="U76" s="181"/>
      <c r="V76" s="132"/>
      <c r="W76" s="172">
        <f t="shared" si="23"/>
        <v>0</v>
      </c>
      <c r="X76" s="175"/>
    </row>
    <row r="77" spans="1:24">
      <c r="A77" s="54" t="s">
        <v>352</v>
      </c>
      <c r="B77" s="191"/>
      <c r="C77" s="168">
        <v>32.47</v>
      </c>
      <c r="D77" s="128">
        <v>49.95</v>
      </c>
      <c r="I77" s="132">
        <f t="shared" si="19"/>
        <v>0</v>
      </c>
      <c r="P77" s="54">
        <f t="shared" si="20"/>
        <v>0</v>
      </c>
      <c r="R77" s="183">
        <f t="shared" si="21"/>
        <v>0</v>
      </c>
      <c r="T77" s="183">
        <f t="shared" si="22"/>
        <v>0</v>
      </c>
      <c r="U77" s="182">
        <v>1</v>
      </c>
      <c r="W77" s="171">
        <f t="shared" si="23"/>
        <v>32.47</v>
      </c>
      <c r="X77" s="175"/>
    </row>
    <row r="78" spans="1:24">
      <c r="A78" s="200" t="s">
        <v>397</v>
      </c>
      <c r="B78" s="193"/>
      <c r="C78" s="134">
        <v>16.77</v>
      </c>
      <c r="D78" s="133">
        <v>27.95</v>
      </c>
      <c r="E78" s="132"/>
      <c r="F78" s="132"/>
      <c r="G78" s="132"/>
      <c r="H78" s="132"/>
      <c r="I78" s="132">
        <f t="shared" si="19"/>
        <v>0</v>
      </c>
      <c r="J78" s="132"/>
      <c r="K78" s="132"/>
      <c r="L78" s="132"/>
      <c r="M78" s="132"/>
      <c r="N78" s="132"/>
      <c r="O78" s="132"/>
      <c r="P78" s="132">
        <f t="shared" si="20"/>
        <v>0</v>
      </c>
      <c r="Q78" s="132"/>
      <c r="R78" s="166">
        <f t="shared" si="21"/>
        <v>0</v>
      </c>
      <c r="S78" s="132"/>
      <c r="T78" s="166">
        <f t="shared" si="22"/>
        <v>0</v>
      </c>
      <c r="U78" s="181"/>
      <c r="V78" s="132"/>
      <c r="W78" s="172">
        <f t="shared" si="23"/>
        <v>0</v>
      </c>
      <c r="X78" s="175"/>
    </row>
    <row r="79" spans="1:24">
      <c r="A79" s="201" t="s">
        <v>366</v>
      </c>
      <c r="B79" s="194"/>
      <c r="C79" s="169">
        <v>16.77</v>
      </c>
      <c r="D79" s="169">
        <v>27.95</v>
      </c>
      <c r="I79" s="132">
        <f t="shared" si="19"/>
        <v>0</v>
      </c>
      <c r="P79" s="54">
        <f t="shared" si="20"/>
        <v>0</v>
      </c>
      <c r="R79" s="183">
        <f t="shared" si="21"/>
        <v>0</v>
      </c>
      <c r="T79" s="183">
        <f t="shared" si="22"/>
        <v>0</v>
      </c>
      <c r="U79" s="182"/>
      <c r="W79" s="171">
        <f t="shared" si="23"/>
        <v>0</v>
      </c>
      <c r="X79" s="175"/>
    </row>
    <row r="80" spans="1:24">
      <c r="A80" s="202" t="s">
        <v>400</v>
      </c>
      <c r="B80" s="195"/>
      <c r="C80" s="170">
        <v>23.97</v>
      </c>
      <c r="D80" s="170">
        <v>39.950000000000003</v>
      </c>
      <c r="E80" s="132"/>
      <c r="F80" s="132"/>
      <c r="G80" s="132"/>
      <c r="H80" s="132"/>
      <c r="I80" s="132">
        <f t="shared" si="19"/>
        <v>0</v>
      </c>
      <c r="J80" s="132"/>
      <c r="K80" s="132"/>
      <c r="L80" s="132"/>
      <c r="M80" s="132"/>
      <c r="N80" s="132"/>
      <c r="O80" s="132"/>
      <c r="P80" s="132">
        <f t="shared" si="20"/>
        <v>0</v>
      </c>
      <c r="Q80" s="132"/>
      <c r="R80" s="166">
        <f t="shared" si="21"/>
        <v>0</v>
      </c>
      <c r="S80" s="132"/>
      <c r="T80" s="166">
        <f t="shared" si="22"/>
        <v>0</v>
      </c>
      <c r="U80" s="181"/>
      <c r="V80" s="132"/>
      <c r="W80" s="172">
        <f t="shared" si="23"/>
        <v>0</v>
      </c>
      <c r="X80" s="175"/>
    </row>
    <row r="81" spans="1:24">
      <c r="X81" s="175"/>
    </row>
    <row r="82" spans="1:24">
      <c r="X82" s="175"/>
    </row>
    <row r="83" spans="1:24" ht="15.75" thickBot="1">
      <c r="A83" s="178" t="s">
        <v>196</v>
      </c>
      <c r="B83" s="178"/>
      <c r="C83" s="176"/>
      <c r="D83" s="176"/>
      <c r="E83" s="176"/>
      <c r="F83" s="176"/>
      <c r="G83" s="176"/>
      <c r="H83" s="176"/>
      <c r="I83" s="176"/>
      <c r="J83" s="176"/>
      <c r="K83" s="176"/>
      <c r="L83" s="176"/>
      <c r="M83" s="176"/>
      <c r="N83" s="176"/>
      <c r="O83" s="176"/>
      <c r="P83" s="177">
        <f>SUM(P2:P56)</f>
        <v>0</v>
      </c>
      <c r="Q83" s="177">
        <f>SUM(Q2:Q57)</f>
        <v>0</v>
      </c>
      <c r="R83" s="177">
        <f>SUM(R2:R57)</f>
        <v>0</v>
      </c>
      <c r="S83" s="177"/>
      <c r="T83" s="177">
        <f>SUM(T2:T57)</f>
        <v>5</v>
      </c>
      <c r="U83" s="176"/>
      <c r="V83" s="176"/>
      <c r="W83" s="177">
        <f>SUM(W2:W82)</f>
        <v>191.53</v>
      </c>
      <c r="X83" s="175"/>
    </row>
  </sheetData>
  <phoneticPr fontId="41" type="noConversion"/>
  <dataValidations count="2">
    <dataValidation allowBlank="1" showInputMessage="1" showErrorMessage="1" prompt="Geben Sie in dieser Spalte unter dieser Überschrift den Firmennamen ein. Verwenden Sie Überschriftsfilter, um bestimmte Einträge zu finden." sqref="A2:B2" xr:uid="{1B07E523-F841-4418-84A7-BD29AA8EDA49}"/>
    <dataValidation allowBlank="1" showInputMessage="1" showErrorMessage="1" prompt="Der Titel dieses Arbeitsblatts befindet sich in dieser Zelle." sqref="A1:B1" xr:uid="{22C2547C-C986-4EF2-9191-3259917C2CEC}"/>
  </dataValidations>
  <pageMargins left="1.0236220472440944" right="0.23622047244094491" top="0.35433070866141736" bottom="0.35433070866141736" header="0.31496062992125984" footer="0.31496062992125984"/>
  <pageSetup paperSize="9" scale="33" fitToWidth="0"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9</vt:i4>
      </vt:variant>
      <vt:variant>
        <vt:lpstr>Benannte Bereiche</vt:lpstr>
      </vt:variant>
      <vt:variant>
        <vt:i4>31</vt:i4>
      </vt:variant>
    </vt:vector>
  </HeadingPairs>
  <TitlesOfParts>
    <vt:vector size="40" baseType="lpstr">
      <vt:lpstr>Lebenskraft PUR</vt:lpstr>
      <vt:lpstr>Blutwerte</vt:lpstr>
      <vt:lpstr>Ne-Ettiket</vt:lpstr>
      <vt:lpstr>NE_Rechnung</vt:lpstr>
      <vt:lpstr>Produkte</vt:lpstr>
      <vt:lpstr>Kunden</vt:lpstr>
      <vt:lpstr>Bestellung</vt:lpstr>
      <vt:lpstr>Info</vt:lpstr>
      <vt:lpstr>Umsatz</vt:lpstr>
      <vt:lpstr>Anzahlung</vt:lpstr>
      <vt:lpstr>Bestellung!Druckbereich</vt:lpstr>
      <vt:lpstr>Kunden!Druckbereich</vt:lpstr>
      <vt:lpstr>'Lebenskraft PUR'!Druckbereich</vt:lpstr>
      <vt:lpstr>NE_Rechnung!Druckbereich</vt:lpstr>
      <vt:lpstr>Produkte!Druckbereich</vt:lpstr>
      <vt:lpstr>Kunden!Drucktitel</vt:lpstr>
      <vt:lpstr>'Lebenskraft PUR'!Drucktitel</vt:lpstr>
      <vt:lpstr>NE_Rechnung!Drucktitel</vt:lpstr>
      <vt:lpstr>Produkte!Drucktitel</vt:lpstr>
      <vt:lpstr>Firmenname</vt:lpstr>
      <vt:lpstr>'Lebenskraft PUR'!KundeNachschlagen</vt:lpstr>
      <vt:lpstr>Produkte!KundeNachschlagen</vt:lpstr>
      <vt:lpstr>KundeNachschlagen</vt:lpstr>
      <vt:lpstr>LebenskraftPUR</vt:lpstr>
      <vt:lpstr>Produktbeschreibung</vt:lpstr>
      <vt:lpstr>'Lebenskraft PUR'!Produkte</vt:lpstr>
      <vt:lpstr>Produkte</vt:lpstr>
      <vt:lpstr>'Lebenskraft PUR'!Produktliste</vt:lpstr>
      <vt:lpstr>Produktliste</vt:lpstr>
      <vt:lpstr>Rabatt</vt:lpstr>
      <vt:lpstr>Rechnungsname</vt:lpstr>
      <vt:lpstr>Rechnungszwischensumme</vt:lpstr>
      <vt:lpstr>'Lebenskraft PUR'!Titel2</vt:lpstr>
      <vt:lpstr>Produkte!Titel2</vt:lpstr>
      <vt:lpstr>Titel2</vt:lpstr>
      <vt:lpstr>Versand</vt:lpstr>
      <vt:lpstr>ZeilenTitelBereich1..C6</vt:lpstr>
      <vt:lpstr>ZeilenTitelBereich2..E5</vt:lpstr>
      <vt:lpstr>ZeilenTitelBereich3..H5</vt:lpstr>
      <vt:lpstr>ZeilenTitelBereich4..H20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Viktor Mathies</dc:creator>
  <cp:lastModifiedBy>Viktor Mathies</cp:lastModifiedBy>
  <cp:lastPrinted>2026-07-09T11:48:14Z</cp:lastPrinted>
  <dcterms:created xsi:type="dcterms:W3CDTF">2017-04-21T05:17:51Z</dcterms:created>
  <dcterms:modified xsi:type="dcterms:W3CDTF">2026-07-30T18:09:49Z</dcterms:modified>
</cp:coreProperties>
</file>